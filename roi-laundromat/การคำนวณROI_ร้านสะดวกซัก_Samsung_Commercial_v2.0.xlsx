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README" sheetId="1" state="visible" r:id="rId3"/>
    <sheet name="A_INPUT" sheetId="2" state="visible" r:id="rId4"/>
    <sheet name="B_PACKAGES" sheetId="3" state="visible" r:id="rId5"/>
    <sheet name="C_CALC" sheetId="4" state="visible" r:id="rId6"/>
    <sheet name="D_DASHBOARD" sheetId="5" state="visible" r:id="rId7"/>
    <sheet name="E_CASHFLOW" sheetId="6" state="visible" r:id="rId8"/>
    <sheet name="F_SERVICE" sheetId="7" state="visible" r:id="rId9"/>
    <sheet name="G_SCENARIO" sheetId="8" state="visible" r:id="rId10"/>
    <sheet name="H_LOCATION_SCORE" sheetId="9" state="visible" r:id="rId11"/>
    <sheet name="I_PRINT_VIEW" sheetId="10" state="visible" r:id="rId12"/>
    <sheet name="Z_LISTS" sheetId="11" state="hidden" r:id="rId13"/>
  </sheets>
  <definedNames>
    <definedName function="false" hidden="false" localSheetId="9" name="_xlnm.Print_Area" vbProcedure="false">I_PRINT_VIEW!$A$1:$E$46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3" authorId="0">
      <text>
        <r>
          <rPr>
            <sz val="10"/>
            <rFont val="FreeSans"/>
            <family val="2"/>
          </rPr>
          <t xml:space="preserve">แนะนำ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FreeSans"/>
            <family val="2"/>
          </rPr>
          <t xml:space="preserve">นับห้องหอพัก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FreeSans"/>
            <family val="2"/>
          </rPr>
          <t xml:space="preserve">คอนโดในรัศมี </t>
        </r>
        <r>
          <rPr>
            <sz val="10"/>
            <rFont val="Arial"/>
            <family val="2"/>
          </rPr>
          <t xml:space="preserve">1 </t>
        </r>
        <r>
          <rPr>
            <sz val="10"/>
            <rFont val="FreeSans"/>
            <family val="2"/>
          </rPr>
          <t xml:space="preserve">กม</t>
        </r>
        <r>
          <rPr>
            <sz val="10"/>
            <rFont val="Arial"/>
            <family val="2"/>
          </rPr>
          <t xml:space="preserve">. x 1.5 </t>
        </r>
        <r>
          <rPr>
            <sz val="10"/>
            <rFont val="FreeSans"/>
            <family val="2"/>
          </rPr>
          <t xml:space="preserve">คน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FreeSans"/>
            <family val="2"/>
          </rPr>
          <t xml:space="preserve">ห้อง</t>
        </r>
      </text>
    </comment>
  </commentList>
</comments>
</file>

<file path=xl/sharedStrings.xml><?xml version="1.0" encoding="utf-8"?>
<sst xmlns="http://schemas.openxmlformats.org/spreadsheetml/2006/main" count="1031" uniqueCount="740">
  <si>
    <t xml:space="preserve">การคำนวณ ROI ร้านสะดวกซัก  Samsung Commercial</t>
  </si>
  <si>
    <t xml:space="preserve">LAUNDROMAT ROI MODEL — Version 2.0  |  อัปเดต 19-09-2026  |  อิงราคาและสเปกจริงจากเอกสาร Samsung Commercial Franchise</t>
  </si>
  <si>
    <t xml:space="preserve">1) วิธีใช้งาน 5 ขั้นตอน / HOW TO USE</t>
  </si>
  <si>
    <t xml:space="preserve">ขั้นที่ 1</t>
  </si>
  <si>
    <t xml:space="preserve">ชีต H_LOCATION_SCORE — ให้คะแนนทำเลก่อน ถ้าได้ NO-GO ไม่ต้องคำนวณต่อ</t>
  </si>
  <si>
    <t xml:space="preserve">ขั้นที่ 2</t>
  </si>
  <si>
    <t xml:space="preserve">ชีต B_PACKAGES — ตรวจราคาแพ็กเกจ (S/M/L) และกรอก 'CAPEX นอกแพ็กเกจ' ที่ลูกค้าต้องเตรียมเอง พร้อมเลือกอุปกรณ์เสริมที่จะซื้อเพิ่ม</t>
  </si>
  <si>
    <t xml:space="preserve">ขั้นที่ 3</t>
  </si>
  <si>
    <t xml:space="preserve">ชีต A_INPUT — กรอกช่องสีเหลือง: ประชากร ค่าเช่า ราคา/รอบ และเลือกระบบรับชำระเงิน</t>
  </si>
  <si>
    <t xml:space="preserve">ขั้นที่ 4</t>
  </si>
  <si>
    <t xml:space="preserve">ชีต F_SERVICE — เทียบ 2 ทางเลือกค่าบริการระบบ (เปิดสแกน 3% vs จ่ายรายเดือน)</t>
  </si>
  <si>
    <t xml:space="preserve">ขั้นที่ 5</t>
  </si>
  <si>
    <t xml:space="preserve">ดูผลที่ D_DASHBOARD / E_CASHFLOW → ทดสอบความเสี่ยงที่ G_SCENARIO → พิมพ์ I_PRINT_VIEW เสนอลูกค้า</t>
  </si>
  <si>
    <t xml:space="preserve">2) ความหมายของสี / COLOR LEGEND</t>
  </si>
  <si>
    <t xml:space="preserve">พื้นเหลือง + ตัวเลขสีน้ำเงิน</t>
  </si>
  <si>
    <t xml:space="preserve">ช่องกรอกข้อมูล (Input) — แก้ได้เฉพาะช่องเหล่านี้</t>
  </si>
  <si>
    <t xml:space="preserve">ตัวเลขสีดำ</t>
  </si>
  <si>
    <t xml:space="preserve">สูตรคำนวณ — ห้ามพิมพ์ทับ</t>
  </si>
  <si>
    <t xml:space="preserve">ตัวเลขสีเขียว</t>
  </si>
  <si>
    <t xml:space="preserve">ลิงก์มาจากชีตอื่น — ห้ามพิมพ์ทับ</t>
  </si>
  <si>
    <t xml:space="preserve">พื้นฟ้าอ่อน / เขียวอ่อน</t>
  </si>
  <si>
    <t xml:space="preserve">ผลลัพธ์สำคัญ (KPI)</t>
  </si>
  <si>
    <t xml:space="preserve">3) แผนผังชีต / SHEET MAP</t>
  </si>
  <si>
    <t xml:space="preserve">0_README</t>
  </si>
  <si>
    <t xml:space="preserve">หน้านี้ — คู่มือ ที่มาตัวเลข ข้อควรระวัง และสิ่งที่ต้องยืนยันกับ Samsung</t>
  </si>
  <si>
    <t xml:space="preserve">A_INPUT</t>
  </si>
  <si>
    <t xml:space="preserve">ช่องกรอก 8 หมวด: โครงการ / ตลาด / แพ็กเกจ / CAPEX / การดำเนินงาน / รายได้เสริม / OPEX / การเงิน-ภาษี</t>
  </si>
  <si>
    <t xml:space="preserve">B_PACKAGES</t>
  </si>
  <si>
    <t xml:space="preserve">สเปกเครื่อง + แพ็กเกจ S/M/L/CUSTOM + CAPEX นอกแพ็กเกจ + อุปกรณ์เสริม + checklist สิ่งที่รวมในแพ็กเกจ</t>
  </si>
  <si>
    <t xml:space="preserve">C_CALC</t>
  </si>
  <si>
    <t xml:space="preserve">เครื่องคำนวณ 9 ส่วน (capacity → รอบที่ขายได้ → รายได้ → ต้นทุน → CAPEX → P&amp;L → KPI → health check)</t>
  </si>
  <si>
    <t xml:space="preserve">D_DASHBOARD</t>
  </si>
  <si>
    <t xml:space="preserve">สรุป KPI + งบกำไรขาดทุนต่อเดือน + คำเตือนอัตโนมัติ 7 ข้อ</t>
  </si>
  <si>
    <t xml:space="preserve">E_CASHFLOW</t>
  </si>
  <si>
    <t xml:space="preserve">กระแสเงินสด 60 เดือน + NPV + IRR + คืนทุนแบบเงินสด/คิดลด + ตารางผ่อนเงินกู้</t>
  </si>
  <si>
    <t xml:space="preserve">F_SERVICE</t>
  </si>
  <si>
    <t xml:space="preserve">ประกันที่รวมในแพ็กเกจ + ค่าบำรุงรักษาหลังปีแรก + เปรียบเทียบค่าบริการระบบ 2 ทางเลือก</t>
  </si>
  <si>
    <t xml:space="preserve">G_SCENARIO</t>
  </si>
  <si>
    <t xml:space="preserve">Worst / Base / Best + ตารางความอ่อนไหว 2 ทาง (ราคา x % ลูกค้า)</t>
  </si>
  <si>
    <t xml:space="preserve">H_LOCATION_SCORE</t>
  </si>
  <si>
    <t xml:space="preserve">ให้คะแนนทำเล 12 เกณฑ์ พร้อมข้อสรุป GO / HOLD / NO-GO</t>
  </si>
  <si>
    <t xml:space="preserve">I_PRINT_VIEW</t>
  </si>
  <si>
    <t xml:space="preserve">สรุปการลงทุน A4 1 หน้า สำหรับพิมพ์เสนอลูกค้า</t>
  </si>
  <si>
    <t xml:space="preserve">Z_LISTS</t>
  </si>
  <si>
    <t xml:space="preserve">รายการตัวเลือก dropdown (ซ่อนไว้ — คลิกขวาที่แท็บ &gt; Unhide)</t>
  </si>
  <si>
    <t xml:space="preserve">4) ตัวเลขที่ยืนยันแล้วจากเอกสาร Samsung / CONFIRMED DATA</t>
  </si>
  <si>
    <t xml:space="preserve">ราคาแพ็กเกจ (รวม VAT)</t>
  </si>
  <si>
    <t xml:space="preserve">S = 3 คู่ 699,000 บาท | M = 4 คู่ 799,000 บาท | L = 5 คู่ 899,000 บาท (Best seller)</t>
  </si>
  <si>
    <t xml:space="preserve">สเปกเครื่อง</t>
  </si>
  <si>
    <t xml:space="preserve">เครื่องซัก 18 kg รอบละ 36 นาที | เครื่องอบแก๊ส 14 kg รอบละ 45 นาที | ทนทานรับ 30,000 รอบ</t>
  </si>
  <si>
    <t xml:space="preserve">การรับประกัน</t>
  </si>
  <si>
    <t xml:space="preserve">เครื่องซัก-อบ 3 ปี | กล่องหยอดเหรียญ 1 ปี | ระบบ I'M CONTROL + ค่าบริการ ฟรี 1 ปี</t>
  </si>
  <si>
    <t xml:space="preserve">งานบำรุงรักษาในแพ็กเกจ</t>
  </si>
  <si>
    <t xml:space="preserve">S-Built-in = 1 ครั้ง | M&amp;L-Built-in = 2 ครั้ง</t>
  </si>
  <si>
    <t xml:space="preserve">ค่าบริการระบบ (หลังปีแรก)</t>
  </si>
  <si>
    <t xml:space="preserve">100 บาท/เครื่อง/เดือน (1 Stack = 2 เครื่อง) + 700 บาท/สาขา/เดือน (สาขา 7 เครื่องขึ้นไป) + 8,000 บาท/ปี — ยกเว้นทั้งหมดถ้าเปิดสแกน PromptPay 3%</t>
  </si>
  <si>
    <t xml:space="preserve">ค่าธรรมเนียมชำระเงิน</t>
  </si>
  <si>
    <t xml:space="preserve">PromptPay 3% ของยอดสแกน (ตัดรอบ 7 วัน โอนทุกวันพุธผ่าน K BIZ) | TrueMoney 3.5% ต่อรายการ</t>
  </si>
  <si>
    <t xml:space="preserve">อุปกรณ์เสริม</t>
  </si>
  <si>
    <t xml:space="preserve">กล่องไซด์บาร์ 13,000-17,500 | iAm Control 4,990 | กล่องสแกนออนไลน์ 5,690 | เครื่องแลกเหรียญ 16,990-49,000 | ตู้จำหน่ายสินค้า 29,990-36,990</t>
  </si>
  <si>
    <t xml:space="preserve">สิ่งที่รวมในแพ็กเกจ</t>
  </si>
  <si>
    <t xml:space="preserve">งานไฟฟ้า 1 เฟส (ตู้ควบคุม + เบรกเกอร์ 63A) | ถังน้ำ 1,000 ล. + ปั๊ม 150 W | ระบบแก๊สสลับอัตโนมัติ 2 ข้าง | ท่อลมร้อน 4" | กรุผนัง ≤25 ตร.ม. | ป้ายกล่องไฟ | เครื่องแลกเหรียญ+ตู้ขายของมินิ | CCTV | โต๊ะเก้าอี้ | พัดลม | อ่างล้างมือ</t>
  </si>
  <si>
    <t xml:space="preserve">5) ตัวเลขที่ยังเป็นค่าประมาณ — ต้องยืนยันก่อนใช้จริง / TO CONFIRM</t>
  </si>
  <si>
    <t xml:space="preserve">1. ค่าไฟ/ค่าน้ำ/ค่าแก๊ส ต่อรอบ</t>
  </si>
  <si>
    <t xml:space="preserve">ใส่ไว้ที่ B_PACKAGES: ซัก 0.55 kWh + 110 ลิตร | อบ 0.35 kWh + 0.55 กก.LPG — ต้องยืนยันจากสเปกผู้ผลิตหรือวัดจากบิลจริงของสาขาที่เปิดแล้ว</t>
  </si>
  <si>
    <t xml:space="preserve">2. ราคาขายต่อรอบ</t>
  </si>
  <si>
    <t xml:space="preserve">ตั้งไว้ซัก 50 / อบ 50 บาท ตามราคาตลาด — ต้องสำรวจราคาคู่แข่งในทำเลจริง</t>
  </si>
  <si>
    <t xml:space="preserve">3. ค่าบำรุงรักษาหลังปีแรก</t>
  </si>
  <si>
    <t xml:space="preserve">ตั้งไว้ 3,500 บาท/ครั้ง x 2 ครั้ง/ปี ที่ชีต F_SERVICE — ยังไม่ใช่ราคาทางการ</t>
  </si>
  <si>
    <t xml:space="preserve">4. CAPEX นอกแพ็กเกจ</t>
  </si>
  <si>
    <t xml:space="preserve">งานไฟเมน มิเตอร์ ประปา แท่นเครื่อง ฝ้า-พื้น (รวม ~178,000-238,000 บาท) — ต้องขอใบเสนอราคาจากผู้รับเหมาจริง เพราะแตกต่างกันมากตามสภาพอาคาร</t>
  </si>
  <si>
    <t xml:space="preserve">5. % การใช้งาน (utilization)</t>
  </si>
  <si>
    <t xml:space="preserve">ตั้งไว้ 35% วันธรรมดา / 65% วันหยุด ตามฟอร์มอ้างอิงเดิม — ควร calibrate จากข้อมูล I'M CONTROL ของสาขาที่เปิดแล้ว</t>
  </si>
  <si>
    <t xml:space="preserve">6. ค่าแก๊ส LPG 25 บาท/กก.</t>
  </si>
  <si>
    <t xml:space="preserve">ราคาอ้างอิงตลาด — ตรวจสอบราคารับถังในพื้นที่จริง</t>
  </si>
  <si>
    <t xml:space="preserve">6) ข้อควรระวังเชิงตัวเลข / MODEL NOTES</t>
  </si>
  <si>
    <t xml:space="preserve">เครื่องอบคือคอขวด</t>
  </si>
  <si>
    <t xml:space="preserve">เครื่องอบใช้ 45 นาที เทียบกับเครื่องซัก 36 นาที ในแพ็กเกจที่ซัก:อบ = 1:1 กำลังผลิตฝั่งอบจะเต็มก่อนเสมอ — ถ้า Capacity check สูง ให้พิจารณาเพิ่มเครื่องอบก่อน</t>
  </si>
  <si>
    <t xml:space="preserve">ค่าแก๊สแยกจากค่าไฟ</t>
  </si>
  <si>
    <t xml:space="preserve">เครื่องอบเป็นระบบแก๊ส LPG ระบบจึงคิดค่าแก๊สแยกทุกโมเดล (โมเดลค่าน้ำ-ไฟแบบ % ของยอดขายครอบคลุมเฉพาะไฟกับน้ำ)</t>
  </si>
  <si>
    <t xml:space="preserve">ราคาแพ็กเกจรวม VAT แล้ว</t>
  </si>
  <si>
    <t xml:space="preserve">ถ้าเลือก 'จดทะเบียน VAT = Yes' ระบบจะถอด VAT ออกจาก CAPEX (หาร 1.07) เพราะขอคืนภาษีซื้อได้</t>
  </si>
  <si>
    <t xml:space="preserve">การแยกค่าเสื่อม</t>
  </si>
  <si>
    <t xml:space="preserve">ราคาแพ็กเกจเป็นก้อนเดียว จึงใช้ช่อง '% ของราคาแพ็กเกจที่เป็นตัวเครื่อง' (ตั้งไว้ 70%) แยกตัดค่าเสื่อม: ส่วนเครื่อง 8 ปี / ส่วนงานตกแต่ง-ติดตั้ง 5 ปี</t>
  </si>
  <si>
    <t xml:space="preserve">ปีแรกไม่มีค่าบริการระบบ</t>
  </si>
  <si>
    <t xml:space="preserve">P&amp;L รายเดือนแสดงสภาวะปกติ (ปีที่ 2 เป็นต้นไป) ส่วน E_CASHFLOW หักส่วนลดปีแรกให้อัตโนมัติ</t>
  </si>
  <si>
    <t xml:space="preserve">การจำกัดด้วยกำลังผลิต</t>
  </si>
  <si>
    <t xml:space="preserve">ถ้าความต้องการเกินกำลังผลิต โมเดลจะจำกัดรายได้ด้วย Fill rate (ดู C_CALC ส่วนที่ 3)</t>
  </si>
  <si>
    <t xml:space="preserve">ระยะคืนทุน 2 ตัวเลข</t>
  </si>
  <si>
    <t xml:space="preserve">D_DASHBOARD ใช้สูตรง่าย (เงินลงทุน / กระแสเงินสดต่อเดือน) ส่วน E_CASHFLOW คิดจากกระแสเงินสดสะสมจริง รวมค่าเช่าที่ปรับขึ้นและส่วนลดปีแรก — ต่างกันเล็กน้อยเป็นเรื่องปกติ</t>
  </si>
  <si>
    <t xml:space="preserve">ถ้าไม่เปิดสแกน</t>
  </si>
  <si>
    <t xml:space="preserve">ลูกค้าจะจ่ายได้เฉพาะเหรียญ/แบงก์ ซึ่งในทางปฏิบัติมักทำให้ยอดขายลดลง โมเดลยังไม่ได้หักผลกระทบส่วนนี้ ให้ปรับ % ลูกค้าลงเองถ้าเลือกทางนี้</t>
  </si>
  <si>
    <t xml:space="preserve">การคำนวณ ROI ร้านสะดวกซัก  Samsung Commercial  /  LAUNDROMAT ROI MODEL  v2.0</t>
  </si>
  <si>
    <t xml:space="preserve">กรอกเฉพาะช่องสีเหลือง (Input) → ผลลัพธ์อัปเดตอัตโนมัติ  •  ช่อง override ใส่ 0 = ใช้ค่าจากแพ็กเกจ  •  ราคาแพ็กเกจ Samsung เป็นราคารวม VAT และรวมงานติดตั้ง/ตกแต่งแล้ว</t>
  </si>
  <si>
    <t xml:space="preserve">1) PROJECT INFO / ข้อมูลโครงการ</t>
  </si>
  <si>
    <t xml:space="preserve">ชื่อโครงการ / Project name</t>
  </si>
  <si>
    <t xml:space="preserve">Laundromat_สาขาตัวอย่าง</t>
  </si>
  <si>
    <t xml:space="preserve">Input</t>
  </si>
  <si>
    <t xml:space="preserve">ใช้แสดงบนหน้า I_PRINT_VIEW</t>
  </si>
  <si>
    <t xml:space="preserve">ลูกค้า / Customer</t>
  </si>
  <si>
    <t xml:space="preserve">K.ตัวอย่าง</t>
  </si>
  <si>
    <t xml:space="preserve">ทำเล / Location</t>
  </si>
  <si>
    <t xml:space="preserve">ระบุชื่อทำเล</t>
  </si>
  <si>
    <t xml:space="preserve">ประเภททำเล / Location type</t>
  </si>
  <si>
    <t xml:space="preserve">หน้าหอพัก/คอนโด</t>
  </si>
  <si>
    <t xml:space="preserve">เลือก</t>
  </si>
  <si>
    <t xml:space="preserve">มีผลกับสมมติฐานความถี่การใช้บริการ</t>
  </si>
  <si>
    <t xml:space="preserve">ผู้รับผิดชอบ / Sales owner</t>
  </si>
  <si>
    <t xml:space="preserve">Krittanan</t>
  </si>
  <si>
    <t xml:space="preserve">วันที่ / Date</t>
  </si>
  <si>
    <t xml:space="preserve">2) MARKET SIZE &amp; POPULATION / ขนาดตลาดและประชากร</t>
  </si>
  <si>
    <t xml:space="preserve">จำนวนประชากรในรัศมีบริการ (1 กม.)</t>
  </si>
  <si>
    <t xml:space="preserve">นับจากจำนวนห้องพัก x คนเฉลี่ย/ห้อง หรือข้อมูลทะเบียนราษฎร์</t>
  </si>
  <si>
    <t xml:space="preserve">% คาดว่าจะใช้บริการ / Capture rate</t>
  </si>
  <si>
    <t xml:space="preserve">เลือก/แก้ได้</t>
  </si>
  <si>
    <t xml:space="preserve">ทำเลหอพัก 30-40% | หมู่บ้านจัดสรร 15-25%</t>
  </si>
  <si>
    <t xml:space="preserve">จำนวนคู่แข่งในรัศมี 500 ม.</t>
  </si>
  <si>
    <t xml:space="preserve">0 = ไม่มีคู่แข่ง</t>
  </si>
  <si>
    <t xml:space="preserve">ตัวคูณส่วนแบ่งตลาด / Market share factor</t>
  </si>
  <si>
    <t xml:space="preserve">Formula</t>
  </si>
  <si>
    <t xml:space="preserve">สูตร 1/(1+คู่แข่ง x 0.6) — ปรับตัวเลข 0.6 ได้ถ้ามีข้อมูลจริง</t>
  </si>
  <si>
    <t xml:space="preserve">จำนวนลูกค้าคาดการณ์ / Estimated customers</t>
  </si>
  <si>
    <t xml:space="preserve">คน/เดือน</t>
  </si>
  <si>
    <t xml:space="preserve">ความถี่ใช้บริการ / Usage frequency</t>
  </si>
  <si>
    <t xml:space="preserve">ครั้ง/คน/เดือน</t>
  </si>
  <si>
    <t xml:space="preserve">รอบซักต่อการมา 1 ครั้ง</t>
  </si>
  <si>
    <t xml:space="preserve">ลูกค้าครอบครัวมักซัก 1.5-2 รอบ/ครั้ง</t>
  </si>
  <si>
    <t xml:space="preserve">% ที่ใช้เครื่องอบด้วย / Dryer attach rate</t>
  </si>
  <si>
    <t xml:space="preserve">เครื่องอบแก๊ส 45 นาที — หน้าฝน/คอนโดสูงถึง 85%</t>
  </si>
  <si>
    <t xml:space="preserve">ความต้องการรอบซัก / Wash cycles demand</t>
  </si>
  <si>
    <t xml:space="preserve">รอบ/เดือน</t>
  </si>
  <si>
    <t xml:space="preserve">ความต้องการรอบอบ / Dry cycles demand</t>
  </si>
  <si>
    <t xml:space="preserve">3) PACKAGE &amp; PRICING / แพ็กเกจและราคา</t>
  </si>
  <si>
    <t xml:space="preserve">เลือกแพ็กเกจ / Package code</t>
  </si>
  <si>
    <t xml:space="preserve">L</t>
  </si>
  <si>
    <t xml:space="preserve">S = 3 คู่ 699,000 | M = 4 คู่ 799,000 | L = 5 คู่ 899,000 (Best seller) | CUSTOM = กำหนดเองที่ B_PACKAGES</t>
  </si>
  <si>
    <t xml:space="preserve">รูปแบบการคิดรายได้ / Revenue model</t>
  </si>
  <si>
    <t xml:space="preserve">B: แยกเครื่องซัก / เครื่องอบ</t>
  </si>
  <si>
    <t xml:space="preserve">โหมด A = ราคาเดียวต่อรอบ (ซัก+อบ) | โหมด B = แยกราคาซัก/อบ (แนะนำ เพราะเวลารอบต่างกัน 36 vs 45 นาที)</t>
  </si>
  <si>
    <t xml:space="preserve">เครื่องซักตามแพ็กเกจ</t>
  </si>
  <si>
    <t xml:space="preserve">จาก B_PACKAGES</t>
  </si>
  <si>
    <t xml:space="preserve">เครื่อง</t>
  </si>
  <si>
    <t xml:space="preserve">เครื่องอบตามแพ็กเกจ</t>
  </si>
  <si>
    <t xml:space="preserve">override จำนวนเครื่องซัก (0 = ใช้แพ็กเกจ)</t>
  </si>
  <si>
    <t xml:space="preserve">override จำนวนเครื่องอบ (0 = ใช้แพ็กเกจ)</t>
  </si>
  <si>
    <t xml:space="preserve">เครื่องซักที่ใช้จริง</t>
  </si>
  <si>
    <t xml:space="preserve">เครื่องอบที่ใช้จริง</t>
  </si>
  <si>
    <t xml:space="preserve">รวมเครื่องทั้งหมด</t>
  </si>
  <si>
    <t xml:space="preserve">ใช้คิดค่าบริการรายเดือน 100 บาท/เครื่อง (1 Stack = 2 เครื่อง)</t>
  </si>
  <si>
    <t xml:space="preserve">ราคา/รอบ เครื่องซัก 18 kg</t>
  </si>
  <si>
    <t xml:space="preserve">บาท/รอบ — ราคาตลาด 40-60 บาท</t>
  </si>
  <si>
    <t xml:space="preserve">ราคา/รอบ เครื่องอบ 14 kg</t>
  </si>
  <si>
    <t xml:space="preserve">บาท/รอบ — อบแก๊ส 45 นาที ตลาด 40-60 บาท</t>
  </si>
  <si>
    <t xml:space="preserve">ราคา/รอบ รวมซัก+อบ (ใช้เฉพาะโหมด A)</t>
  </si>
  <si>
    <t xml:space="preserve">บาท/รอบ</t>
  </si>
  <si>
    <t xml:space="preserve">เวลา/รอบซัก (0 = ใช้ค่าจาก B_PACKAGES = 36 นาที)</t>
  </si>
  <si>
    <t xml:space="preserve">นาที</t>
  </si>
  <si>
    <t xml:space="preserve">เวลา/รอบอบ (0 = ใช้ค่าจาก B_PACKAGES = 45 นาที)</t>
  </si>
  <si>
    <t xml:space="preserve">เวลา/รอบ รวมซัก+อบ (ใช้เฉพาะโหมด A)</t>
  </si>
  <si>
    <t xml:space="preserve">นาที (36 + 45)</t>
  </si>
  <si>
    <t xml:space="preserve">เวลาโหลด-ปลดผ้า + รอเครื่องว่าง</t>
  </si>
  <si>
    <t xml:space="preserve">นาที/รอบ — ทำให้ capacity สมจริงขึ้น</t>
  </si>
  <si>
    <t xml:space="preserve">4) CAPEX / เงินลงทุน</t>
  </si>
  <si>
    <t xml:space="preserve">ราคาแพ็กเกจ Franchise (รวม VAT)</t>
  </si>
  <si>
    <t xml:space="preserve">รวมเครื่อง ติดตั้ง งานระบบ งานตกแต่ง อุปกรณ์แถม และระบบ 1 ปี</t>
  </si>
  <si>
    <t xml:space="preserve">override ราคาแพ็กเกจ (0 = ใช้ราคาตาราง)</t>
  </si>
  <si>
    <t xml:space="preserve">ใส่ราคาหลังต่อรอง/ส่วนลดจริง</t>
  </si>
  <si>
    <t xml:space="preserve">CAPEX นอกแพ็กเกจ (ลูกค้าเตรียมเอง)</t>
  </si>
  <si>
    <t xml:space="preserve">งานไฟเมน มิเตอร์ ประปา แท่นเครื่อง ฝ้า-พื้น ถังแก๊ส เน็ต ขนส่ง</t>
  </si>
  <si>
    <t xml:space="preserve">อุปกรณ์เสริมซื้อเพิ่ม</t>
  </si>
  <si>
    <t xml:space="preserve">กล่องไซด์บาร์ / เครื่องแลกเหรียญ / ตู้จำหน่ายสินค้า</t>
  </si>
  <si>
    <t xml:space="preserve">CAPEX อื่นๆ / Other CAPEX</t>
  </si>
  <si>
    <t xml:space="preserve">เช่น ค่าเซ้งร้าน ค่าที่ปรึกษา</t>
  </si>
  <si>
    <t xml:space="preserve">% ของราคาแพ็กเกจที่เป็นตัวเครื่อง</t>
  </si>
  <si>
    <t xml:space="preserve">ใช้แยกตัดค่าเสื่อม: ส่วนเครื่อง 8 ปี / ส่วนงานตกแต่ง-ติดตั้ง 5 ปี</t>
  </si>
  <si>
    <t xml:space="preserve">เงินประกันค่าเช่า / Rent deposit</t>
  </si>
  <si>
    <t xml:space="preserve">จำนวนเดือน (ได้คืนเมื่อเลิกสัญญา)</t>
  </si>
  <si>
    <t xml:space="preserve">เงินทุนหมุนเวียน / Working capital</t>
  </si>
  <si>
    <t xml:space="preserve">เงินสดสำรอง 2-3 เดือนของ OPEX + เงินทอน/เหรียญในเครื่องแลกเหรียญ</t>
  </si>
  <si>
    <t xml:space="preserve">VAT %</t>
  </si>
  <si>
    <t xml:space="preserve">จดทะเบียน VAT? / VAT registered</t>
  </si>
  <si>
    <t xml:space="preserve">No / ไม่ใช่</t>
  </si>
  <si>
    <t xml:space="preserve">ถ้า Yes → ขอคืน VAT ได้ ระบบจะถอด VAT ออกจาก CAPEX (หาร 1.07)</t>
  </si>
  <si>
    <t xml:space="preserve">5) OPERATION / การดำเนินงาน</t>
  </si>
  <si>
    <t xml:space="preserve">ชั่วโมงเปิด/วัน / Open hours per day</t>
  </si>
  <si>
    <t xml:space="preserve">24 ชม. = ระบบหยอดเหรียญ/สแกนอัตโนมัติ</t>
  </si>
  <si>
    <t xml:space="preserve">% ใช้งานวันธรรมดา / Weekday utilization</t>
  </si>
  <si>
    <t xml:space="preserve">ค่าอ้างอิงฟอร์มเดิม = 35%</t>
  </si>
  <si>
    <t xml:space="preserve">% ใช้งานวันหยุด / Weekend utilization</t>
  </si>
  <si>
    <t xml:space="preserve">ค่าอ้างอิงฟอร์มเดิม = 65%</t>
  </si>
  <si>
    <t xml:space="preserve">จำนวนวันธรรมดา/เดือน</t>
  </si>
  <si>
    <t xml:space="preserve">จำนวนวันหยุด/เดือน</t>
  </si>
  <si>
    <t xml:space="preserve">รวมวันเปิดบริการ/เดือน</t>
  </si>
  <si>
    <t xml:space="preserve">วัน</t>
  </si>
  <si>
    <t xml:space="preserve">เปิดบริการรับ-ส่งผ้า O2O?</t>
  </si>
  <si>
    <t xml:space="preserve">ออเดอร์ O2O ต่อวัน</t>
  </si>
  <si>
    <t xml:space="preserve">บิล/วัน</t>
  </si>
  <si>
    <t xml:space="preserve">รอบต่อ 1 ออเดอร์ O2O</t>
  </si>
  <si>
    <t xml:space="preserve">ซัก 1 + อบ 1</t>
  </si>
  <si>
    <t xml:space="preserve">ยอดเฉลี่ยต่อบิล O2O</t>
  </si>
  <si>
    <t xml:space="preserve">บาท/บิล</t>
  </si>
  <si>
    <t xml:space="preserve">ค่าธรรมเนียมแพลตฟอร์ม</t>
  </si>
  <si>
    <t xml:space="preserve">% ของยอด O2O</t>
  </si>
  <si>
    <t xml:space="preserve">ค่าส่ง (ไรเดอร์)</t>
  </si>
  <si>
    <t xml:space="preserve">6) OTHER REVENUE / รายได้เสริม</t>
  </si>
  <si>
    <t xml:space="preserve">% ลูกค้าที่ซื้อน้ำยา-ของใช้ (ตู้จำหน่ายสินค้า)</t>
  </si>
  <si>
    <t xml:space="preserve">ยอดซื้อเฉลี่ย/คน</t>
  </si>
  <si>
    <t xml:space="preserve">บาท/ครั้ง</t>
  </si>
  <si>
    <t xml:space="preserve">%กำไรขั้นต้นสินค้า vending</t>
  </si>
  <si>
    <t xml:space="preserve">รายได้อื่น (ตู้กดน้ำ/ตู้เกม/ตู้คีบ)</t>
  </si>
  <si>
    <t xml:space="preserve">บาท/เดือน — วางตู้เสริมหน้าร้านเพิ่มรายได้ต่อพื้นที่</t>
  </si>
  <si>
    <t xml:space="preserve">%กำไรขั้นต้นรายได้อื่น</t>
  </si>
  <si>
    <t xml:space="preserve">7) MONTHLY COSTS (OPEX) / ค่าใช้จ่ายต่อเดือน</t>
  </si>
  <si>
    <t xml:space="preserve">7.1) FIXED COST / ค่าใช้จ่ายคงที่</t>
  </si>
  <si>
    <t xml:space="preserve">ค่าเช่า / Rent</t>
  </si>
  <si>
    <t xml:space="preserve">บาท/เดือน</t>
  </si>
  <si>
    <t xml:space="preserve">อัตราปรับค่าเช่าต่อปี</t>
  </si>
  <si>
    <t xml:space="preserve">ปกติสัญญา 3 ปี ปรับ 5-10%</t>
  </si>
  <si>
    <t xml:space="preserve">ค่าจ้างพนักงาน / Staff</t>
  </si>
  <si>
    <t xml:space="preserve">บาท/เดือน — ร้าน built-in ใช้พนักงาน part-time ดูแลความสะอาด</t>
  </si>
  <si>
    <t xml:space="preserve">ประกันภัย / Insurance</t>
  </si>
  <si>
    <t xml:space="preserve">ประกันทรัพย์สิน + บุคคลที่ 3</t>
  </si>
  <si>
    <t xml:space="preserve">ทำความสะอาด + เก็บเหรียญ</t>
  </si>
  <si>
    <t xml:space="preserve">ค่าบำรุงรักษาเครื่อง (หลังปีแรก)</t>
  </si>
  <si>
    <t xml:space="preserve">จาก F_SERVICE</t>
  </si>
  <si>
    <t xml:space="preserve">ลิงก์อัตโนมัติจากชีต F_SERVICE</t>
  </si>
  <si>
    <t xml:space="preserve">ค่าบริการระบบ I'M CONTROL (หลังปีแรก)</t>
  </si>
  <si>
    <t xml:space="preserve">ลิงก์อัตโนมัติ — เป็น 0 ถ้าเลือกเปิดสแกน 3%</t>
  </si>
  <si>
    <t xml:space="preserve">การตลาด / Marketing</t>
  </si>
  <si>
    <t xml:space="preserve">โปรโมชั่น ป้าย โฆษณาออนไลน์</t>
  </si>
  <si>
    <t xml:space="preserve">ค่าอินเทอร์เน็ตรายเดือน</t>
  </si>
  <si>
    <t xml:space="preserve">จำเป็นต่อระบบ I'M CONTROL</t>
  </si>
  <si>
    <t xml:space="preserve">ค่าใช้จ่ายคงที่อื่นๆ</t>
  </si>
  <si>
    <t xml:space="preserve">รวมค่าใช้จ่ายคงที่ / TOTAL FIXED COST</t>
  </si>
  <si>
    <t xml:space="preserve">บาท/เดือน (ยังไม่รวมค่าน้ำ-ไฟ-แก๊ส)</t>
  </si>
  <si>
    <t xml:space="preserve">7.2) VARIABLE COST / ค่าใช้จ่ายผันแปร</t>
  </si>
  <si>
    <t xml:space="preserve">โมเดลค่าน้ำ-ไฟ / Utilities model</t>
  </si>
  <si>
    <t xml:space="preserve">2: คำนวณจากหน่วยจริง (kWh/ลิตร)</t>
  </si>
  <si>
    <t xml:space="preserve">โมเดล 1 = ประมาณเป็น % ของยอดขาย | โมเดล 2 = คำนวณจาก kWh/ลิตรต่อรอบ (แม่นกว่า) — ค่าแก๊สคิดแยกทุกกรณี</t>
  </si>
  <si>
    <t xml:space="preserve">ค่าไฟ (% ของยอดขาย)</t>
  </si>
  <si>
    <t xml:space="preserve">โมเดล 1</t>
  </si>
  <si>
    <t xml:space="preserve">ค่าอ้างอิงฟอร์มเดิม = 12%</t>
  </si>
  <si>
    <t xml:space="preserve">ค่าน้ำ (% ของยอดขาย)</t>
  </si>
  <si>
    <t xml:space="preserve">ค่าอ้างอิงฟอร์มเดิม = 2%</t>
  </si>
  <si>
    <t xml:space="preserve">ค่าไฟต่อหน่วย</t>
  </si>
  <si>
    <t xml:space="preserve">โมเดล 2</t>
  </si>
  <si>
    <t xml:space="preserve">บาท/kWh (รวม Ft + VAT)</t>
  </si>
  <si>
    <t xml:space="preserve">ค่าน้ำต่อหน่วย</t>
  </si>
  <si>
    <t xml:space="preserve">บาท/ลูกบาศก์เมตร</t>
  </si>
  <si>
    <t xml:space="preserve">ค่าแก๊ส LPG ต่อกิโลกรัม</t>
  </si>
  <si>
    <t xml:space="preserve">บาท/กก. — เครื่องอบ Samsung เป็นระบบแก๊ส คิดแยกจากค่าไฟทุกโมเดล</t>
  </si>
  <si>
    <t xml:space="preserve">ค่าไฟส่วนกลาง (แอร์/ไฟ/ป้าย/CCTV)</t>
  </si>
  <si>
    <t xml:space="preserve">บาท/เดือน คงที่</t>
  </si>
  <si>
    <t xml:space="preserve">วัสดุสิ้นเปลืองต่อรอบ</t>
  </si>
  <si>
    <t xml:space="preserve">บาท/รอบ (น้ำยา ถุง ฯลฯ)</t>
  </si>
  <si>
    <t xml:space="preserve">ระบบรับชำระเงิน / Payment mode</t>
  </si>
  <si>
    <t xml:space="preserve">เปิดสแกน PromptPay 3% (ฟรีค่าบริการระบบ)</t>
  </si>
  <si>
    <t xml:space="preserve">เปิดสแกน 3% → ฟรีค่าบริการรายเดือน/สาขา/ปี | ไม่เปิดสแกน → จ่ายค่าบริการระบบ (ดู F_SERVICE)</t>
  </si>
  <si>
    <t xml:space="preserve">ค่าธรรมเนียมสแกน PromptPay</t>
  </si>
  <si>
    <t xml:space="preserve">3% คิดเฉพาะยอดที่สแกนเท่านั้น</t>
  </si>
  <si>
    <t xml:space="preserve">% ยอดขายที่ชำระผ่านสแกน</t>
  </si>
  <si>
    <t xml:space="preserve">ส่วนที่เหลือเป็นเหรียญ/แบงก์ (ไม่เสียค่าธรรมเนียม)</t>
  </si>
  <si>
    <t xml:space="preserve">ค่าซ่อมผันแปร (นอกประกัน)</t>
  </si>
  <si>
    <t xml:space="preserve">% ของยอดขาย — ต่ำใน 3 ปีแรกเพราะมีประกันเครื่อง</t>
  </si>
  <si>
    <t xml:space="preserve">ค่าสิทธิ์/แฟรนไชส์รายเดือน</t>
  </si>
  <si>
    <t xml:space="preserve">% ของยอดขาย (Samsung ไม่เก็บ royalty)</t>
  </si>
  <si>
    <t xml:space="preserve">8) FINANCE &amp; TAX / แหล่งเงินทุนและภาษี</t>
  </si>
  <si>
    <t xml:space="preserve">สัดส่วนเงินกู้ / Loan % of CAPEX</t>
  </si>
  <si>
    <t xml:space="preserve">0% = ลงทุนด้วยเงินสดทั้งหมด</t>
  </si>
  <si>
    <t xml:space="preserve">ดอกเบี้ยเงินกู้ต่อปี</t>
  </si>
  <si>
    <t xml:space="preserve">สินเชื่อ SME 6.5-9%</t>
  </si>
  <si>
    <t xml:space="preserve">ระยะเวลาผ่อน</t>
  </si>
  <si>
    <t xml:space="preserve">ปี</t>
  </si>
  <si>
    <t xml:space="preserve">อายุตัดค่าเสื่อมเครื่อง</t>
  </si>
  <si>
    <t xml:space="preserve">ปี (เส้นตรง) — ดู health check อายุตามจำนวนรอบด้วย</t>
  </si>
  <si>
    <t xml:space="preserve">อายุตัดค่าเสื่อมงานตกแต่ง/ติดตั้ง</t>
  </si>
  <si>
    <t xml:space="preserve">ปี (เส้นตรง)</t>
  </si>
  <si>
    <t xml:space="preserve">อัตราภาษีเงินได้</t>
  </si>
  <si>
    <t xml:space="preserve">นิติบุคคลทั่วไป 20% | SME กำไร&lt;300k ยกเว้น, 300k-3M = 15%</t>
  </si>
  <si>
    <t xml:space="preserve">อัตราคิดลด / Discount rate (WACC)</t>
  </si>
  <si>
    <t xml:space="preserve">ใช้คำนวณ NPV/IRR</t>
  </si>
  <si>
    <t xml:space="preserve">อัตราเติบโตยอดขายต่อปี</t>
  </si>
  <si>
    <t xml:space="preserve">ปีที่ 2 เป็นต้นไป</t>
  </si>
  <si>
    <t xml:space="preserve">ระยะเวลาประเมิน / Evaluation horizon</t>
  </si>
  <si>
    <t xml:space="preserve">ปี (สูงสุด 5)</t>
  </si>
  <si>
    <t xml:space="preserve">B) MACHINE &amp; PACKAGE MASTER / ฐานข้อมูลเครื่องและแพ็กเกจ  (ราคาจริง Samsung Commercial)</t>
  </si>
  <si>
    <t xml:space="preserve">ที่มา: เอกสาร Samsung Commercial Franchise / ตารางสรุปราคาอุปกรณ์ (ก.ย. 2026)  |  ราคาแพ็กเกจเป็นราคารวม VAT แล้ว  |  ช่องสีเหลือง = แก้ไขได้</t>
  </si>
  <si>
    <t xml:space="preserve">1) MACHINE MASTER / สเปกเครื่อง Samsung Commercial</t>
  </si>
  <si>
    <t xml:space="preserve">รหัส / รุ่น</t>
  </si>
  <si>
    <t xml:space="preserve">ประเภท</t>
  </si>
  <si>
    <t xml:space="preserve">ความจุ (kg)</t>
  </si>
  <si>
    <t xml:space="preserve">เวลา/รอบ (นาที)</t>
  </si>
  <si>
    <t xml:space="preserve">ไฟฟ้า kWh/รอบ</t>
  </si>
  <si>
    <t xml:space="preserve">น้ำ ลิตร/รอบ</t>
  </si>
  <si>
    <t xml:space="preserve">แก๊ส LPG กก./รอบ</t>
  </si>
  <si>
    <t xml:space="preserve">อายุใช้งาน (รอบ)</t>
  </si>
  <si>
    <t xml:space="preserve">WM18 — เครื่องซัก 18 kg</t>
  </si>
  <si>
    <t xml:space="preserve">เครื่องซัก</t>
  </si>
  <si>
    <t xml:space="preserve">DR14 — เครื่องอบแก๊ส 14 kg</t>
  </si>
  <si>
    <t xml:space="preserve">เครื่องอบ</t>
  </si>
  <si>
    <t xml:space="preserve">เวลา/รอบ และอายุ 30,000 รอบ = ค่าจากเอกสาร Samsung | kWh, ลิตร, กก.แก๊ส ต่อรอบ = ค่าประมาณ (เครื่องอบเป็นระบบแก๊ส LPG) — ควรวัดจากบิลจริงของสาขาที่เปิดแล้ว</t>
  </si>
  <si>
    <t xml:space="preserve">2) PACKAGE MASTER / แพ็กเกจ Franchise (ราคารวม VAT)</t>
  </si>
  <si>
    <t xml:space="preserve">รหัสคอลัมน์ต้องตรงกับตัวเลือกใน A_INPUT เป๊ะ:  S = 3 คู่ | M = 4 คู่ | L = 5 คู่ (Best seller) | CUSTOM = กำหนดเอง</t>
  </si>
  <si>
    <t xml:space="preserve">รายการ / Item</t>
  </si>
  <si>
    <t xml:space="preserve">หน่วย</t>
  </si>
  <si>
    <t xml:space="preserve">หมายเหตุ</t>
  </si>
  <si>
    <t xml:space="preserve">S</t>
  </si>
  <si>
    <t xml:space="preserve">M</t>
  </si>
  <si>
    <t xml:space="preserve">CUSTOM</t>
  </si>
  <si>
    <t xml:space="preserve">จำนวนคู่ (ซัก+อบ) / Pairs</t>
  </si>
  <si>
    <t xml:space="preserve">คู่</t>
  </si>
  <si>
    <t xml:space="preserve">1 คู่ = ซัก 1 + อบ 1 (วางซ้อน Stack)</t>
  </si>
  <si>
    <t xml:space="preserve">เครื่องซัก 18 kg / Washers</t>
  </si>
  <si>
    <t xml:space="preserve">เครื่องอบแก๊ส 14 kg / Dryers</t>
  </si>
  <si>
    <t xml:space="preserve">รวมเครื่อง (ระบบนับ 1 Stack = 2 เครื่อง)</t>
  </si>
  <si>
    <t xml:space="preserve">ใช้คิดค่าบริการรายเดือน 100 บาท/เครื่อง</t>
  </si>
  <si>
    <t xml:space="preserve">บาท</t>
  </si>
  <si>
    <t xml:space="preserve">S 699,000 | M 799,000 | L 899,000 — รวมเครื่อง ติดตั้ง งานไฟ-น้ำ-แก๊ส งานตกแต่ง Built-in อุปกรณ์แถม และระบบ I'M CONTROL 1 ปี</t>
  </si>
  <si>
    <t xml:space="preserve">งานบำรุงรักษาที่รวมในแพ็กเกจ (ปีแรก)</t>
  </si>
  <si>
    <t xml:space="preserve">ครั้ง/ปี</t>
  </si>
  <si>
    <t xml:space="preserve">ประกันเครื่องซัก-อบ</t>
  </si>
  <si>
    <t xml:space="preserve">กล่องหยอดเหรียญรับประกัน 1 ปี</t>
  </si>
  <si>
    <t xml:space="preserve">ระบบ I'M CONTROL + ค่าบริการ ฟรี</t>
  </si>
  <si>
    <t xml:space="preserve">หลังหมดปีแรกดูชีต F_SERVICE</t>
  </si>
  <si>
    <t xml:space="preserve">พื้นที่แนะนำ / Recommended area</t>
  </si>
  <si>
    <t xml:space="preserve">ตร.ม.</t>
  </si>
  <si>
    <t xml:space="preserve">งานกรุผนังในแพ็กเกจครอบคลุมไม่เกิน 25 ตร.ม.</t>
  </si>
  <si>
    <t xml:space="preserve">ประชากรในรัศมี 1 กม. ที่แนะนำ</t>
  </si>
  <si>
    <t xml:space="preserve">คน</t>
  </si>
  <si>
    <t xml:space="preserve">3) CAPEX นอกแพ็กเกจ — สิ่งที่ลูกค้าต้องเตรียมเอง (หมายเหตุข้อ 2 ของเอกสาร Samsung)</t>
  </si>
  <si>
    <t xml:space="preserve">งานเดินสายเมนไฟฟ้า + ขอ/เพิ่มขนาดมิเตอร์ไฟฟ้า</t>
  </si>
  <si>
    <t xml:space="preserve">ไม่รวมในแพ็กเกจ</t>
  </si>
  <si>
    <t xml:space="preserve">มิเตอร์ประปา + งานประปาหลักก่อนถึงจุดติดตั้ง</t>
  </si>
  <si>
    <t xml:space="preserve">แท่นวางเครื่องซัก-อบ (ฐานปูน)</t>
  </si>
  <si>
    <t xml:space="preserve">ฝ้าอาคาร + พื้นกระเบื้อง</t>
  </si>
  <si>
    <t xml:space="preserve">ถังแก๊ส LPG 2 ถัง + เงินมัดจำถัง</t>
  </si>
  <si>
    <t xml:space="preserve">ระบบแก๊สสลับอัตโนมัติ 2 ข้าง</t>
  </si>
  <si>
    <t xml:space="preserve">อินเทอร์เน็ต + ค่าติดตั้ง</t>
  </si>
  <si>
    <t xml:space="preserve">จำเป็นสำหรับ I'M CONTROL</t>
  </si>
  <si>
    <t xml:space="preserve">ค่าขออนุญาต / ป้าย / อื่นๆ</t>
  </si>
  <si>
    <t xml:space="preserve">ระบบน้ำร้อน STIEBEL ELTRON + เดินท่อน้ำร้อน</t>
  </si>
  <si>
    <t xml:space="preserve">หมายเหตุข้อ 5 — ไม่รวมในแพ็กเกจ (ใส่ 0 ถ้าไม่ติดตั้ง)</t>
  </si>
  <si>
    <t xml:space="preserve">ค่าขนส่ง + ค่าเดินทางติดตั้ง</t>
  </si>
  <si>
    <t xml:space="preserve">หมายเหตุข้อ 1 — ตามเงื่อนไขบริษัทฯ</t>
  </si>
  <si>
    <t xml:space="preserve">รวม CAPEX นอกแพ็กเกจ / Total prep cost</t>
  </si>
  <si>
    <t xml:space="preserve">4) อุปกรณ์เสริมซื้อเพิ่ม / Optional add-ons (ราคาขายจริง)</t>
  </si>
  <si>
    <t xml:space="preserve">รายการอุปกรณ์</t>
  </si>
  <si>
    <t xml:space="preserve">ราคาขาย (บาท)</t>
  </si>
  <si>
    <t xml:space="preserve">จำนวน</t>
  </si>
  <si>
    <t xml:space="preserve">รวม (บาท)</t>
  </si>
  <si>
    <t xml:space="preserve">หมายเหตุ / เงื่อนไข</t>
  </si>
  <si>
    <t xml:space="preserve">กล่องไซด์บาร์หน้าจอสั่งงาน + ชุดรับเหรียญ (1 ชิ้น)</t>
  </si>
  <si>
    <t xml:space="preserve">คอนโทรลแบบ All-in-One + รับเหรียญ</t>
  </si>
  <si>
    <t xml:space="preserve">กล่องไซด์บาร์ + ชุดรับเหรียญและแบงก์ (1 ชิ้น)</t>
  </si>
  <si>
    <t xml:space="preserve">รับเหรียญและแบงก์</t>
  </si>
  <si>
    <t xml:space="preserve">กล่องไซด์บาร์ + ชุดรับเหรียญ (สำหรับ Stack บน-ล่าง)</t>
  </si>
  <si>
    <t xml:space="preserve">สำหรับเครื่องวางซ้อน</t>
  </si>
  <si>
    <t xml:space="preserve">กล่องไซด์บาร์ + ชุดรับเหรียญและแบงก์ (Stack บน-ล่าง)</t>
  </si>
  <si>
    <t xml:space="preserve">เชื่อมต่อระบบสแกน &amp; ระบบปฏิบัติการ iAm Control</t>
  </si>
  <si>
    <t xml:space="preserve">ต้องมีกล่องไซด์บาร์แล้ว (ต้นทุนคู่ค้า 3,990)</t>
  </si>
  <si>
    <t xml:space="preserve">กล่องสแกนออนไลน์สำหรับอุปกรณ์หยอดเหรียญ</t>
  </si>
  <si>
    <t xml:space="preserve">ติดตั้งกับอุปกรณ์หยอดเหรียญภายในร้าน</t>
  </si>
  <si>
    <t xml:space="preserve">เครื่องแลกเหรียญ รุ่นมินิ</t>
  </si>
  <si>
    <t xml:space="preserve">แพ็กเกจ Franchise แถมมาแล้ว 1 เครื่อง</t>
  </si>
  <si>
    <t xml:space="preserve">เครื่องแลกเหรียญ + เซ็นทรัลเพย์เมนต์ (จอ 10 นิ้ว)</t>
  </si>
  <si>
    <t xml:space="preserve">ฟรีค่าบริการเมื่อเปิดสแกน 3%</t>
  </si>
  <si>
    <t xml:space="preserve">เครื่องแลกเหรียญ + เซ็นทรัลเพย์เมนต์ (จอ 22 นิ้ว)</t>
  </si>
  <si>
    <t xml:space="preserve">เครื่องจำหน่ายสินค้า 4 ช่อง (พร้อมระบบออนไลน์)</t>
  </si>
  <si>
    <t xml:space="preserve">แพ็กเกจแถมเครื่องจำหน่ายสินค้ามินิมาแล้ว</t>
  </si>
  <si>
    <t xml:space="preserve">เครื่องจำหน่ายสินค้า 8 ช่อง (พร้อมระบบออนไลน์)</t>
  </si>
  <si>
    <t xml:space="preserve">จ่ายเฉพาะค่าธรรมเนียม 3% ของยอดสแกน</t>
  </si>
  <si>
    <t xml:space="preserve">รวมอุปกรณ์เสริม / Total add-ons</t>
  </si>
  <si>
    <t xml:space="preserve">ส่งเข้า A_INPUT อัตโนมัติ</t>
  </si>
  <si>
    <t xml:space="preserve">5) สิ่งที่รวมอยู่ในแพ็กเกจแล้ว / What's included (ใช้เป็น checklist ตอนเสนอลูกค้า)</t>
  </si>
  <si>
    <t xml:space="preserve">ระบบบริหารจัดการร้านออนไลน์</t>
  </si>
  <si>
    <t xml:space="preserve">I'M CONTROL + QR CODE 1 ปี | ลงทะเบียน QR API 1 บัญชี | ติดตั้งและสอนใช้งาน 1 ครั้ง</t>
  </si>
  <si>
    <t xml:space="preserve">งานติดตั้งเครื่อง / บำรุงรักษา</t>
  </si>
  <si>
    <t xml:space="preserve">ติดตั้งเครื่องซัก-อบ 1 งาน | บำรุงรักษา S = 1 ครั้ง, M&amp;L = 2 ครั้ง</t>
  </si>
  <si>
    <t xml:space="preserve">งานไฟฟ้า 1 เฟส</t>
  </si>
  <si>
    <t xml:space="preserve">ตู้ควบคุมไฟฟ้า + เบรกเกอร์เมน 63A | เดินสายเข้าเครื่อง ≤8 ม. | เดินสายเข้าปั๊มน้ำ | เดินปลั๊ก (ไม่รวมสายเมนและงานมิเตอร์)</t>
  </si>
  <si>
    <t xml:space="preserve">งานระบบท่อน้ำเข้า-น้ำทิ้ง</t>
  </si>
  <si>
    <t xml:space="preserve">ถังเก็บน้ำ 1,000 ลิตร | ปั๊มน้ำ 150 วัตต์ | ท่อน้ำเมน 1/2" ≤8 ม. | ท่อน้ำทิ้ง PVC 2 1/2" ≤8 ม. | อ่างล้างมือ</t>
  </si>
  <si>
    <t xml:space="preserve">งานระบบแก๊ส + ท่อระบายความร้อน</t>
  </si>
  <si>
    <t xml:space="preserve">ท่อลมร้อน 4" แบบ 1:1 ≤2.5 ม./เครื่อง | ระบบแก๊สสลับใช้อัตโนมัติ 2 ข้าง ≤4 ม.</t>
  </si>
  <si>
    <t xml:space="preserve">งานตกแต่ง</t>
  </si>
  <si>
    <t xml:space="preserve">กรุผนังกันชื้น + ทาสี ≤25 ตร.ม. (พร้อมแบบ 3D) | ป้ายกล่องไฟ 60x60 ซม. | ป้ายขั้นตอนใช้งาน 3 ป้าย | ไฟส่องสว่าง 6 + 2 ดวง</t>
  </si>
  <si>
    <t xml:space="preserve">อุปกรณ์พิเศษในร้าน</t>
  </si>
  <si>
    <t xml:space="preserve">เครื่องแลกเหรียญ Go Center มินิ 1 | เครื่องจำหน่ายสินค้า Go Center มินิ 1 | กล้องวงจรปิด Wi-Fi 1 | โต๊ะ+เก้าอี้ 2 ชุด | พัดลม 1</t>
  </si>
  <si>
    <t xml:space="preserve">เครื่องซัก-อบ 3 ปี | กล่องหยอดเหรียญ 1 ปี (ตามเงื่อนไขการใช้งานปกติ)</t>
  </si>
  <si>
    <t xml:space="preserve">C) CALCULATION ENGINE / เครื่องคำนวณ (ห้ามแก้ไข — เป็นสูตรทั้งหมด)</t>
  </si>
  <si>
    <t xml:space="preserve">1) CAPACITY / กำลังผลิต</t>
  </si>
  <si>
    <t xml:space="preserve">จาก A_INPUT</t>
  </si>
  <si>
    <t xml:space="preserve">รวมเครื่องซัก+อบ</t>
  </si>
  <si>
    <t xml:space="preserve">เวลา/รอบซักที่ใช้</t>
  </si>
  <si>
    <t xml:space="preserve">เวลา/รอบอบที่ใช้</t>
  </si>
  <si>
    <t xml:space="preserve">รอบ/วัน ต่อเครื่องซัก</t>
  </si>
  <si>
    <t xml:space="preserve">รอบ</t>
  </si>
  <si>
    <t xml:space="preserve">สูตร: ชั่วโมงเปิด x 60 / (เวลารอบ + เวลาโหลด-ปลดผ้า)</t>
  </si>
  <si>
    <t xml:space="preserve">รอบ/วัน ต่อเครื่องอบ</t>
  </si>
  <si>
    <t xml:space="preserve">เครื่องอบ 45 นาที = คอขวดของร้าน</t>
  </si>
  <si>
    <t xml:space="preserve">รอบ/วัน ต่อ 1 คู่ (โหมด A)</t>
  </si>
  <si>
    <t xml:space="preserve">วันทำการถ่วงน้ำหนักการใช้งาน</t>
  </si>
  <si>
    <t xml:space="preserve">วัน-เทียบเท่า</t>
  </si>
  <si>
    <t xml:space="preserve">สูตร: วันธรรมดา x %ใช้งาน + วันหยุด x %ใช้งาน</t>
  </si>
  <si>
    <t xml:space="preserve">กำลังผลิตเครื่องซัก</t>
  </si>
  <si>
    <t xml:space="preserve">กำลังผลิตเครื่องอบ</t>
  </si>
  <si>
    <t xml:space="preserve">กำลังผลิตรวม (โหมด A)</t>
  </si>
  <si>
    <t xml:space="preserve">โหมด A: 1 รอบ = ใช้เครื่องซัก 1 + เครื่องอบ 1 จึงจำกัดด้วยจำนวนคู่</t>
  </si>
  <si>
    <t xml:space="preserve">กำลังผลิตที่ใช้ตามโหมด</t>
  </si>
  <si>
    <t xml:space="preserve">กำลังผลิตสูงสุด 100%</t>
  </si>
  <si>
    <t xml:space="preserve">เพดานถ้าเครื่องเดินเต็ม 24 ชม. ทุกวัน</t>
  </si>
  <si>
    <t xml:space="preserve">2) PRICE / ราคาต่อรอบ</t>
  </si>
  <si>
    <t xml:space="preserve">ราคา/รอบซัก</t>
  </si>
  <si>
    <t xml:space="preserve">ราคา/รอบอบ</t>
  </si>
  <si>
    <t xml:space="preserve">ราคา/รอบ รวม (โหมด A)</t>
  </si>
  <si>
    <t xml:space="preserve">3) DEMAND &amp; BILLED CYCLES / ความต้องการและรอบที่ขายได้</t>
  </si>
  <si>
    <t xml:space="preserve">รอบซักจาก O2O</t>
  </si>
  <si>
    <t xml:space="preserve">รอบอบจาก O2O</t>
  </si>
  <si>
    <t xml:space="preserve">ความต้องการรวม</t>
  </si>
  <si>
    <t xml:space="preserve">Capacity check (ความต้องการ / กำลังผลิต)</t>
  </si>
  <si>
    <t xml:space="preserve">%</t>
  </si>
  <si>
    <t xml:space="preserve">&gt;100% = เครื่องไม่พอ ควรอัปแพ็กเกจหรือขึ้นราคา | &lt;50% = ลงทุนเกินตัว</t>
  </si>
  <si>
    <t xml:space="preserve">อัตราที่รองรับได้จริง / Fill rate</t>
  </si>
  <si>
    <t xml:space="preserve">ถ้าความต้องการเกินกำลังผลิต รายได้จะถูกจำกัดตามสัดส่วนนี้</t>
  </si>
  <si>
    <t xml:space="preserve">รอบซักที่ขายได้ (walk-in)</t>
  </si>
  <si>
    <t xml:space="preserve">รอบอบที่ขายได้ (walk-in)</t>
  </si>
  <si>
    <t xml:space="preserve">รอบที่ขายได้รวม (รวม O2O)</t>
  </si>
  <si>
    <t xml:space="preserve">จำนวนรอบที่เครื่องซักเดินจริง</t>
  </si>
  <si>
    <t xml:space="preserve">ใช้คิดค่าไฟ-ค่าน้ำ และอายุเครื่องตามจำนวนรอบ</t>
  </si>
  <si>
    <t xml:space="preserve">จำนวนรอบที่เครื่องอบเดินจริง</t>
  </si>
  <si>
    <t xml:space="preserve">โหมด A: 1 รอบรวม = เดินเครื่องอบ 1 รอบด้วย</t>
  </si>
  <si>
    <t xml:space="preserve">รอบเฉลี่ยต่อวัน</t>
  </si>
  <si>
    <t xml:space="preserve">รอบ/วัน</t>
  </si>
  <si>
    <t xml:space="preserve">4) REVENUE / รายได้ต่อเดือน</t>
  </si>
  <si>
    <t xml:space="preserve">รายได้เครื่องซัก</t>
  </si>
  <si>
    <t xml:space="preserve">รายได้เครื่องอบ</t>
  </si>
  <si>
    <t xml:space="preserve">รายได้ O2O</t>
  </si>
  <si>
    <t xml:space="preserve">รายได้ตู้จำหน่ายสินค้า</t>
  </si>
  <si>
    <t xml:space="preserve">รายได้อื่น</t>
  </si>
  <si>
    <t xml:space="preserve">รายได้รวม / TOTAL REVENUE</t>
  </si>
  <si>
    <t xml:space="preserve">รายได้ต่อเครื่องต่อวัน</t>
  </si>
  <si>
    <t xml:space="preserve">ตัวชี้วัดเทียบสาขา: ต่ำกว่า 200 บาท/เครื่อง/วัน ถือว่าน่ากังวล</t>
  </si>
  <si>
    <t xml:space="preserve">ราคาเฉลี่ยต่อรอบ</t>
  </si>
  <si>
    <t xml:space="preserve">5) VARIABLE COST / ต้นทุนผันแปร</t>
  </si>
  <si>
    <t xml:space="preserve">ค่าไฟ + ค่าน้ำ / Electricity &amp; Water</t>
  </si>
  <si>
    <t xml:space="preserve">โมเดล 1 = % ของยอดขาย | โมเดล 2 = kWh/ลิตรจริง + ค่าไฟส่วนกลาง</t>
  </si>
  <si>
    <t xml:space="preserve">ค่าแก๊ส LPG เครื่องอบ / Gas</t>
  </si>
  <si>
    <t xml:space="preserve">เครื่องอบ Samsung เป็นระบบแก๊ส — คิดแยกจากค่าไฟทุกโมเดล</t>
  </si>
  <si>
    <t xml:space="preserve">วัสดุสิ้นเปลือง</t>
  </si>
  <si>
    <t xml:space="preserve">ค่าธรรมเนียม + ค่าส่ง O2O</t>
  </si>
  <si>
    <t xml:space="preserve">3% ของยอดที่สแกนเท่านั้น — แลกกับการยกเว้นค่าบริการระบบทั้งหมด</t>
  </si>
  <si>
    <t xml:space="preserve">ค่าซ่อมผันแปร</t>
  </si>
  <si>
    <t xml:space="preserve">ค่าสิทธิ์/แฟรนไชส์</t>
  </si>
  <si>
    <t xml:space="preserve">ต้นทุนสินค้า vending + รายได้อื่น</t>
  </si>
  <si>
    <t xml:space="preserve">รวมต้นทุนผันแปร / TOTAL VARIABLE COST</t>
  </si>
  <si>
    <t xml:space="preserve">ต้นทุนผันแปร % ของยอดขาย</t>
  </si>
  <si>
    <t xml:space="preserve">กำไรส่วนเกิน / Contribution margin</t>
  </si>
  <si>
    <t xml:space="preserve">อัตรากำไรส่วนเกิน / CM %</t>
  </si>
  <si>
    <t xml:space="preserve">6) CAPEX &amp; FUNDING / เงินลงทุนและแหล่งเงิน</t>
  </si>
  <si>
    <t xml:space="preserve">ตัวคูณ VAT</t>
  </si>
  <si>
    <t xml:space="preserve">จด VAT = ขอคืนภาษีซื้อได้ → ถอด VAT ออกจาก CAPEX | ไม่จด = VAT เป็นต้นทุน</t>
  </si>
  <si>
    <t xml:space="preserve">ราคาแพ็กเกจ (หลังปรับ VAT)</t>
  </si>
  <si>
    <t xml:space="preserve">CAPEX นอกแพ็กเกจ</t>
  </si>
  <si>
    <t xml:space="preserve">ส่วนที่เป็นตัวเครื่อง (ตัดค่าเสื่อม 8 ปี)</t>
  </si>
  <si>
    <t xml:space="preserve">ส่วนงานติดตั้ง/ตกแต่ง/งานเตรียม (ตัดค่าเสื่อม 5 ปี)</t>
  </si>
  <si>
    <t xml:space="preserve">เงินประกันค่าเช่า</t>
  </si>
  <si>
    <t xml:space="preserve">เงินลงทุนรวม / TOTAL CAPEX</t>
  </si>
  <si>
    <t xml:space="preserve">เงินกู้ / Loan amount</t>
  </si>
  <si>
    <t xml:space="preserve">เงินลงทุนของเจ้าของ / Equity</t>
  </si>
  <si>
    <t xml:space="preserve">ค่างวดเงินกู้/เดือน</t>
  </si>
  <si>
    <t xml:space="preserve">7) MONTHLY P&amp;L / งบกำไรขาดทุนต่อเดือน (สภาวะปกติ ปีที่ 2 เป็นต้นไป)</t>
  </si>
  <si>
    <t xml:space="preserve">รายได้ / Revenue</t>
  </si>
  <si>
    <t xml:space="preserve">หัก ต้นทุนผันแปร</t>
  </si>
  <si>
    <t xml:space="preserve">หัก ค่าใช้จ่ายคงที่</t>
  </si>
  <si>
    <t xml:space="preserve">EBITDA</t>
  </si>
  <si>
    <t xml:space="preserve">ค่าเสื่อมราคา</t>
  </si>
  <si>
    <t xml:space="preserve">EBIT</t>
  </si>
  <si>
    <t xml:space="preserve">ดอกเบี้ยจ่าย (เฉลี่ยปีแรก)</t>
  </si>
  <si>
    <t xml:space="preserve">กำไรก่อนภาษี / EBT</t>
  </si>
  <si>
    <t xml:space="preserve">ภาษีเงินได้</t>
  </si>
  <si>
    <t xml:space="preserve">กำไรสุทธิ / NET PROFIT</t>
  </si>
  <si>
    <t xml:space="preserve">อัตรากำไรสุทธิ</t>
  </si>
  <si>
    <t xml:space="preserve">อัตรา EBITDA</t>
  </si>
  <si>
    <t xml:space="preserve">กระแสเงินสดสุทธิ/เดือน</t>
  </si>
  <si>
    <t xml:space="preserve">กำไรสุทธิ + ค่าเสื่อม (ค่าเสื่อมไม่ใช่เงินสดออกจริง)</t>
  </si>
  <si>
    <t xml:space="preserve">8) KEY RESULTS / ตัวชี้วัดหลัก</t>
  </si>
  <si>
    <t xml:space="preserve">ระยะคืนทุน / Payback period</t>
  </si>
  <si>
    <t xml:space="preserve">เดือน</t>
  </si>
  <si>
    <t xml:space="preserve">ระยะคืนทุน (ปี)</t>
  </si>
  <si>
    <t xml:space="preserve">ROI ต่อปี</t>
  </si>
  <si>
    <t xml:space="preserve">ROE ต่อปี</t>
  </si>
  <si>
    <t xml:space="preserve">จุดคุ้มทุน (ยอดขาย)</t>
  </si>
  <si>
    <t xml:space="preserve">ฐานเงินสด (ไม่รวมค่าเสื่อม)</t>
  </si>
  <si>
    <t xml:space="preserve">จุดคุ้มทุน (รอบ/วัน)</t>
  </si>
  <si>
    <t xml:space="preserve">จุดคุ้มทุนคิดเป็น % ของยอดขายปัจจุบัน</t>
  </si>
  <si>
    <t xml:space="preserve">ยิ่งต่ำยิ่งปลอดภัย — เกิน 80% ถือว่าเสี่ยงสูง</t>
  </si>
  <si>
    <t xml:space="preserve">DSCR (ความสามารถชำระหนี้)</t>
  </si>
  <si>
    <t xml:space="preserve">เท่า</t>
  </si>
  <si>
    <t xml:space="preserve">ธนาคารต้องการ &gt; 1.25 เท่า</t>
  </si>
  <si>
    <t xml:space="preserve">อายุเครื่องซักตามจำนวนรอบ</t>
  </si>
  <si>
    <t xml:space="preserve">สเปก 30,000 รอบ หารด้วยรอบที่เดินจริงต่อเครื่องต่อปี</t>
  </si>
  <si>
    <t xml:space="preserve">9) HEALTH CHECK / ตรวจสุขภาพโมเดล</t>
  </si>
  <si>
    <t xml:space="preserve">กำลังผลิต / Capacity</t>
  </si>
  <si>
    <t xml:space="preserve">ตรวจสอบ</t>
  </si>
  <si>
    <t xml:space="preserve">เป้าหมาย 60-95%</t>
  </si>
  <si>
    <t xml:space="preserve">สัดส่วนค่าเช่า / Rent ratio</t>
  </si>
  <si>
    <t xml:space="preserve">ค่าเช่าไม่ควรเกิน 12-15% ของยอดขาย</t>
  </si>
  <si>
    <t xml:space="preserve">สัดส่วนค่าน้ำ-ไฟ-แก๊ส / Utility ratio</t>
  </si>
  <si>
    <t xml:space="preserve">ปกติ 16-24% ของยอดขาย (รวมค่าแก๊สเครื่องอบ)</t>
  </si>
  <si>
    <t xml:space="preserve">ระยะคืนทุน / Payback</t>
  </si>
  <si>
    <t xml:space="preserve">เกณฑ์ธุรกิจร้านสะดวกซัก: 18-30 เดือน</t>
  </si>
  <si>
    <t xml:space="preserve">ความปลอดภัยจุดคุ้มทุน / BEP safety</t>
  </si>
  <si>
    <t xml:space="preserve">Margin of safety = 1 - ค่านี้</t>
  </si>
  <si>
    <t xml:space="preserve">อายุเครื่องตามจำนวนรอบ</t>
  </si>
  <si>
    <t xml:space="preserve">สเปก Samsung: ทนทานรับ 30,000 รอบ</t>
  </si>
  <si>
    <t xml:space="preserve">ทางเลือกระบบรับชำระเงิน</t>
  </si>
  <si>
    <t xml:space="preserve">เปรียบเทียบรายละเอียดที่ชีต F_SERVICE</t>
  </si>
  <si>
    <t xml:space="preserve">D) DASHBOARD / สรุปผลการลงทุน</t>
  </si>
  <si>
    <t xml:space="preserve">KEY RESULTS / ผลลัพธ์หลัก</t>
  </si>
  <si>
    <t xml:space="preserve">เงินลงทุนรวม / Total CAPEX</t>
  </si>
  <si>
    <t xml:space="preserve">รายได้ต่อเดือน / Revenue</t>
  </si>
  <si>
    <t xml:space="preserve">EBITDA ต่อเดือน</t>
  </si>
  <si>
    <t xml:space="preserve">กำไรสุทธิต่อเดือน / Net profit</t>
  </si>
  <si>
    <t xml:space="preserve">อัตรากำไรสุทธิ / Net margin</t>
  </si>
  <si>
    <t xml:space="preserve">จุดคุ้มทุน / BEP</t>
  </si>
  <si>
    <t xml:space="preserve">Capacity check</t>
  </si>
  <si>
    <t xml:space="preserve">%/ปี</t>
  </si>
  <si>
    <t xml:space="preserve">งบกำไรขาดทุนต่อเดือน (ปีที่ 1) / MONTHLY P&amp;L</t>
  </si>
  <si>
    <t xml:space="preserve">% ของยอดขาย</t>
  </si>
  <si>
    <t xml:space="preserve">บาท/ปี</t>
  </si>
  <si>
    <t xml:space="preserve">รายได้ vending + อื่นๆ</t>
  </si>
  <si>
    <t xml:space="preserve">รวมรายได้ / Total revenue</t>
  </si>
  <si>
    <t xml:space="preserve">ค่าไฟ + ค่าน้ำ</t>
  </si>
  <si>
    <t xml:space="preserve">ค่าแก๊ส LPG (เครื่องอบ)</t>
  </si>
  <si>
    <t xml:space="preserve">ค่าธรรมเนียมสแกน 3% + O2O</t>
  </si>
  <si>
    <t xml:space="preserve">ค่าซ่อม + ค่าสิทธิ์ + ต้นทุนสินค้า</t>
  </si>
  <si>
    <t xml:space="preserve">รวมต้นทุนผันแปร</t>
  </si>
  <si>
    <t xml:space="preserve">ค่าเช่า</t>
  </si>
  <si>
    <t xml:space="preserve">ค่าจ้างพนักงาน</t>
  </si>
  <si>
    <t xml:space="preserve">ค่าบำรุงรักษา + ค่าบริการระบบ</t>
  </si>
  <si>
    <t xml:space="preserve">รวมค่าใช้จ่ายคงที่</t>
  </si>
  <si>
    <t xml:space="preserve">ดอกเบี้ยจ่าย</t>
  </si>
  <si>
    <t xml:space="preserve">HEALTH CHECK / ตรวจสุขภาพโมเดล</t>
  </si>
  <si>
    <t xml:space="preserve">กำลังผลิต</t>
  </si>
  <si>
    <t xml:space="preserve">ค่าน้ำ-ไฟ-แก๊ส</t>
  </si>
  <si>
    <t xml:space="preserve">ระยะคืนทุน</t>
  </si>
  <si>
    <t xml:space="preserve">จุดคุ้มทุน</t>
  </si>
  <si>
    <t xml:space="preserve">อายุเครื่อง</t>
  </si>
  <si>
    <t xml:space="preserve">ระบบรับชำระเงิน</t>
  </si>
  <si>
    <t xml:space="preserve">E) CASH FLOW 60 เดือน / MONTHLY CASH FLOW &amp; IRR</t>
  </si>
  <si>
    <t xml:space="preserve">NPV (บาท)</t>
  </si>
  <si>
    <t xml:space="preserve">IRR ต่อปี (โครงการ)</t>
  </si>
  <si>
    <t xml:space="preserve">IRR ต่อปี (เจ้าของ)</t>
  </si>
  <si>
    <t xml:space="preserve">คืนทุน (เดือน) แบบเงินสด</t>
  </si>
  <si>
    <t xml:space="preserve">คืนทุน (เดือน) แบบคิดลด</t>
  </si>
  <si>
    <t xml:space="preserve">กำไรสะสม 5 ปี</t>
  </si>
  <si>
    <t xml:space="preserve">NPV คิดจาก FCF โครงการ ด้วยอัตราคิดลดใน A_INPUT | IRR เจ้าของคิดจากกระแสเงินสดหลังชำระหนี้ | ปีที่ 1 ระบบหักค่าบำรุงรักษาและค่าบริการระบบออกให้ (รวมในแพ็กเกจแล้ว) | เดือนสุดท้ายของ horizon รวมมูลค่าคงเหลือของเครื่อง + เงินประกันค่าเช่า + เงินทุนหมุนเวียนคืน</t>
  </si>
  <si>
    <t xml:space="preserve">รายได้</t>
  </si>
  <si>
    <t xml:space="preserve">ต้นทุนผันแปร</t>
  </si>
  <si>
    <t xml:space="preserve">ค่าใช้จ่ายคงที่</t>
  </si>
  <si>
    <t xml:space="preserve">ค่าเสื่อม</t>
  </si>
  <si>
    <t xml:space="preserve">เงินกู้ต้นงวด</t>
  </si>
  <si>
    <t xml:space="preserve">ดอกเบี้ย</t>
  </si>
  <si>
    <t xml:space="preserve">เงินต้น</t>
  </si>
  <si>
    <t xml:space="preserve">เงินกู้ปลายงวด</t>
  </si>
  <si>
    <t xml:space="preserve">กำไรก่อนภาษี</t>
  </si>
  <si>
    <t xml:space="preserve">ภาษี</t>
  </si>
  <si>
    <t xml:space="preserve">กำไรสุทธิ</t>
  </si>
  <si>
    <t xml:space="preserve">มูลค่าคงเหลือ</t>
  </si>
  <si>
    <t xml:space="preserve">FCF โครงการ</t>
  </si>
  <si>
    <t xml:space="preserve">FCF สะสม</t>
  </si>
  <si>
    <t xml:space="preserve">CF เจ้าของ</t>
  </si>
  <si>
    <t xml:space="preserve">Discount factor</t>
  </si>
  <si>
    <t xml:space="preserve">DCF</t>
  </si>
  <si>
    <t xml:space="preserve">DCF สะสม</t>
  </si>
  <si>
    <t xml:space="preserve">flag คืนทุนเงินสด</t>
  </si>
  <si>
    <t xml:space="preserve">flag คืนทุนคิดลด</t>
  </si>
  <si>
    <t xml:space="preserve">F) WARRANTY, MAINTENANCE &amp; SYSTEM FEE / ประกัน บำรุงรักษา และค่าบริการระบบ</t>
  </si>
  <si>
    <t xml:space="preserve">ที่มา: เอกสาร Samsung Commercial Franchise / ตารางสรุปราคาอุปกรณ์ (ก.ย. 2026)  |  ปีแรกทุกอย่างรวมอยู่ในราคาแพ็กเกจแล้ว — ชีตนี้คิดค่าใช้จ่ายตั้งแต่ปีที่ 2 เป็นต้นไป</t>
  </si>
  <si>
    <t xml:space="preserve">1) สิ่งที่รวมอยู่ในแพ็กเกจแล้ว / Included in package</t>
  </si>
  <si>
    <t xml:space="preserve">ปี — สูงสุดในไทย ตามเงื่อนไขการใช้งานปกติ</t>
  </si>
  <si>
    <t xml:space="preserve">ประกันกล่องหยอดเหรียญ</t>
  </si>
  <si>
    <t xml:space="preserve">งานบำรุงรักษาที่รวมในปีแรก</t>
  </si>
  <si>
    <t xml:space="preserve">ครั้ง — S = 1 ครั้ง, M&amp;L = 2 ครั้ง</t>
  </si>
  <si>
    <t xml:space="preserve">ปี — รวมระบบจ่ายเงิน QR CODE และ QR API 1 บัญชี</t>
  </si>
  <si>
    <t xml:space="preserve">2) ค่าบำรุงรักษาหลังปีแรก / Maintenance from year 2</t>
  </si>
  <si>
    <t xml:space="preserve">ค่าบำรุงรักษาต่อครั้ง (ทั้งร้าน)</t>
  </si>
  <si>
    <t xml:space="preserve">บาท/ครั้ง — ยังไม่ใช่ราคาทางการ ต้องยืนยันกับ Samsung</t>
  </si>
  <si>
    <t xml:space="preserve">จำนวนครั้งต่อปี</t>
  </si>
  <si>
    <t xml:space="preserve">ครั้ง/ปี (เท่ากับที่แพ็กเกจ M&amp;L ให้)</t>
  </si>
  <si>
    <t xml:space="preserve">ค่าบำรุงรักษาต่อปี</t>
  </si>
  <si>
    <t xml:space="preserve">ค่าบำรุงรักษาเฉลี่ยต่อเดือน (ส่งไป A_INPUT)</t>
  </si>
  <si>
    <t xml:space="preserve">3) ค่าบริการระบบ I'M CONTROL หลังปีแรก — เปรียบเทียบ 2 ทางเลือก</t>
  </si>
  <si>
    <t xml:space="preserve">ทางเลือก A : เปิดใช้งานระบบสแกนชำระเงิน PromptPay 3%</t>
  </si>
  <si>
    <t xml:space="preserve">ค่าบริการรายเดือน/รายสาขา/รายปี</t>
  </si>
  <si>
    <t xml:space="preserve">ได้รับยกเว้นทั้งหมดทันทีเมื่อเปิดสแกน — ต้นทุนไปอยู่ที่ค่าธรรมเนียม 3% ของยอดสแกน (คิดในต้นทุนผันแปร)</t>
  </si>
  <si>
    <t xml:space="preserve">ทางเลือก B : ไม่เปิดสแกน (รับเหรียญ/แบงก์อย่างเดียว)</t>
  </si>
  <si>
    <t xml:space="preserve">ค่าบริการรายเดือน ต่อเครื่อง</t>
  </si>
  <si>
    <t xml:space="preserve">บาท/เครื่อง/เดือน (1 Stack นับ 2 เครื่อง)</t>
  </si>
  <si>
    <t xml:space="preserve">ค่าบริการรายเดือน ต่อสาขา</t>
  </si>
  <si>
    <t xml:space="preserve">บาท/สาขา/เดือน — เฉพาะสาขาที่มี 7 เครื่องขึ้นไป</t>
  </si>
  <si>
    <t xml:space="preserve">ค่าบริการรายปี</t>
  </si>
  <si>
    <t xml:space="preserve">บาท/ปี — ค่าดูแลรักษาและบำรุงรักษาระบบรายปี</t>
  </si>
  <si>
    <t xml:space="preserve">จำนวนเครื่องที่ระบบนับ</t>
  </si>
  <si>
    <t xml:space="preserve">ค่าบริการระบบรวมต่อเดือน (ทางเลือก B)</t>
  </si>
  <si>
    <t xml:space="preserve">ยอดสแกนที่ทำให้สองทางเลือกเท่ากัน</t>
  </si>
  <si>
    <t xml:space="preserve">บาท/เดือน — ถ้ายอดที่ลูกค้าสแกนจริงสูงกว่านี้ ทางเลือก B (ไม่เปิดสแกน) จะถูกกว่าในแง่ค่าธรรมเนียม</t>
  </si>
  <si>
    <t xml:space="preserve">ยอดสแกนจริงต่อเดือน (ประมาณการ)</t>
  </si>
  <si>
    <t xml:space="preserve">จาก C_CALC</t>
  </si>
  <si>
    <t xml:space="preserve">รายได้รวม x %ที่ชำระผ่านสแกน (ลิงก์อัตโนมัติ)</t>
  </si>
  <si>
    <t xml:space="preserve">ค่าธรรมเนียม 3% ที่ต้องจ่าย (ทางเลือก A)</t>
  </si>
  <si>
    <t xml:space="preserve">คำแนะนำ / Recommendation</t>
  </si>
  <si>
    <t xml:space="preserve">เทียบค่าธรรมเนียมจริงกับค่าบริการระบบรายเดือน</t>
  </si>
  <si>
    <t xml:space="preserve">ค่าบริการระบบที่ใช้จริง (ส่งไป A_INPUT)</t>
  </si>
  <si>
    <t xml:space="preserve">4) SUMMARY / สรุป</t>
  </si>
  <si>
    <t xml:space="preserve">ส่วนลดปีแรก (รวมอยู่ในแพ็กเกจแล้ว)</t>
  </si>
  <si>
    <t xml:space="preserve">บาท/เดือน — ชีต E_CASHFLOW จะหักค่านี้ออกจากค่าใช้จ่ายคงที่ของปีที่ 1 ให้อัตโนมัติ</t>
  </si>
  <si>
    <t xml:space="preserve">ค่าบำรุงรักษา + ค่าบริการระบบ ต่อปี (ปีที่ 2 เป็นต้นไป)</t>
  </si>
  <si>
    <t xml:space="preserve">หมายเหตุเพิ่มเติม</t>
  </si>
  <si>
    <t xml:space="preserve">•  ค่าธรรมเนียมสแกน PromptPay 3% คิดเฉพาะยอดที่สแกนเท่านั้น ไม่เกี่ยวกับเงินสด — ตัดรอบ 7 วัน (จันทร์-อาทิตย์) โอนทุกวันพุธผ่าน K BIZ</t>
  </si>
  <si>
    <t xml:space="preserve">•  ช่องทาง TrueMoney Payment คิดค่าธรรมเนียม 3.5% ต่อรายการ (เป็นตัวเลือกเสริม เปิด/ปิดได้)</t>
  </si>
  <si>
    <t xml:space="preserve">•  การนับเครื่อง: เครื่องวางซ้อนบน-ล่าง 1 Stack ระบบนับเป็น 2 เครื่อง</t>
  </si>
  <si>
    <t xml:space="preserve">•  หลังหมดประกัน 3 ปี ควรตั้งงบซ่อมเพิ่มที่ช่อง 'ค่าซ่อมผันแปร' ใน A_INPUT เป็น 2-3%</t>
  </si>
  <si>
    <t xml:space="preserve">G) SCENARIO &amp; SENSITIVITY / วิเคราะห์สถานการณ์และความอ่อนไหว</t>
  </si>
  <si>
    <t xml:space="preserve">1) SCENARIO ANALYSIS / สถานการณ์จำลอง</t>
  </si>
  <si>
    <t xml:space="preserve">สถานการณ์</t>
  </si>
  <si>
    <t xml:space="preserve">ตัวคูณลูกค้า</t>
  </si>
  <si>
    <t xml:space="preserve">ตัวคูณราคา</t>
  </si>
  <si>
    <t xml:space="preserve">ตัวคูณค่าเช่า</t>
  </si>
  <si>
    <t xml:space="preserve">รายได้/เดือน</t>
  </si>
  <si>
    <t xml:space="preserve">EBITDA/เดือน</t>
  </si>
  <si>
    <t xml:space="preserve">กำไรสุทธิ/เดือน</t>
  </si>
  <si>
    <t xml:space="preserve">คืนทุน (เดือน)</t>
  </si>
  <si>
    <t xml:space="preserve">ROI/ปี</t>
  </si>
  <si>
    <t xml:space="preserve">Worst / แย่ที่สุด</t>
  </si>
  <si>
    <t xml:space="preserve">Base / ฐาน</t>
  </si>
  <si>
    <t xml:space="preserve">Best / ดีที่สุด</t>
  </si>
  <si>
    <t xml:space="preserve">ตัวคูณ 100% = ค่าฐานจาก A_INPUT | Worst = ลูกค้าเหลือ 70% ราคาลด 10% ค่าเช่าขึ้น 10%</t>
  </si>
  <si>
    <t xml:space="preserve">2) SENSITIVITY — ระยะคืนทุน (เดือน) / Payback months</t>
  </si>
  <si>
    <t xml:space="preserve">ราคา \ % ลูกค้าที่ใช้บริการ</t>
  </si>
  <si>
    <t xml:space="preserve">ช่องเขียว = สมมติฐานฐานปัจจุบัน | 999 = ขาดทุน คืนทุนไม่ได้ | เกณฑ์ที่ยอมรับได้ ≤ 30 เดือน</t>
  </si>
  <si>
    <t xml:space="preserve">3) SENSITIVITY — กำไรสุทธิต่อเดือน (บาท) / Net profit</t>
  </si>
  <si>
    <t xml:space="preserve">ใช้ประกอบการต่อรองค่าเช่าและตั้งราคา/รอบ</t>
  </si>
  <si>
    <t xml:space="preserve">H) LOCATION SCORE / แบบประเมินทำเล (ทำก่อนตัดสินใจลงทุน)</t>
  </si>
  <si>
    <t xml:space="preserve">ให้คะแนน 1 = แย่มาก ถึง 5 = ดีมาก ในช่องสีเหลือง | น้ำหนักรวมต้องเท่ากับ 100%</t>
  </si>
  <si>
    <t xml:space="preserve">เกณฑ์ / Criteria</t>
  </si>
  <si>
    <t xml:space="preserve">น้ำหนัก</t>
  </si>
  <si>
    <t xml:space="preserve">คะแนน (1-5)</t>
  </si>
  <si>
    <t xml:space="preserve">คะแนนถ่วงน้ำหนัก</t>
  </si>
  <si>
    <t xml:space="preserve">แนวทางให้คะแนน</t>
  </si>
  <si>
    <t xml:space="preserve">ประชากร/จำนวนห้องพักในรัศมี 1 กม.</t>
  </si>
  <si>
    <t xml:space="preserve">5 = &gt;5,000 คน | 3 = 3,000 คน | 1 = &lt;1,500 คน</t>
  </si>
  <si>
    <t xml:space="preserve">สัดส่วนหอพัก/คอนโด/ห้องเช่า</t>
  </si>
  <si>
    <t xml:space="preserve">5 = &gt;70% ของที่อยู่อาศัยโดยรอบ</t>
  </si>
  <si>
    <t xml:space="preserve">5 = ไม่มีคู่แข่ง | 3 = 1 ราย | 1 = 3 รายขึ้นไป</t>
  </si>
  <si>
    <t xml:space="preserve">การมองเห็นจากถนน / ป้ายหน้าร้าน</t>
  </si>
  <si>
    <t xml:space="preserve">5 = ติดถนนหลัก เห็นชัดทั้งกลางวัน-กลางคืน</t>
  </si>
  <si>
    <t xml:space="preserve">ที่จอดรถ</t>
  </si>
  <si>
    <t xml:space="preserve">5 = จอดได้ &gt;6 คัน หน้าร้าน</t>
  </si>
  <si>
    <t xml:space="preserve">ค่าเช่าต่อ ตร.ม. เทียบตลาด</t>
  </si>
  <si>
    <t xml:space="preserve">5 = ต่ำกว่าตลาด &gt;20%</t>
  </si>
  <si>
    <t xml:space="preserve">ระบบไฟฟ้า 3 เฟส + โหลดเพียงพอ</t>
  </si>
  <si>
    <t xml:space="preserve">1 = ต้องขอเพิ่มมิเตอร์ (ค่าใช้จ่าย/เวลาสูง)</t>
  </si>
  <si>
    <t xml:space="preserve">แรงดันน้ำ/ปริมาณน้ำประปา</t>
  </si>
  <si>
    <t xml:space="preserve">5 = แรงดัน &gt;2 บาร์ ไม่ต้องติดปั๊ม+แท็งก์</t>
  </si>
  <si>
    <t xml:space="preserve">การระบายอากาศ/ท่อระบายเครื่องอบ</t>
  </si>
  <si>
    <t xml:space="preserve">5 = ทำท่อออกภายนอกได้สั้น ตรง</t>
  </si>
  <si>
    <t xml:space="preserve">ความปลอดภัย + CCTV + แสงสว่างกลางคืน</t>
  </si>
  <si>
    <t xml:space="preserve">ร้าน 24 ชม. ต้องปลอดภัยสำหรับลูกค้าหญิง</t>
  </si>
  <si>
    <t xml:space="preserve">การเข้าถึง/ขนส่งสาธารณะ/ทางเดินเท้า</t>
  </si>
  <si>
    <t xml:space="preserve">5 = อยู่บนเส้นทางเดินประจำวันของลูกค้า</t>
  </si>
  <si>
    <t xml:space="preserve">เงื่อนไขสัญญาเช่า (อายุ/การต่อสัญญา)</t>
  </si>
  <si>
    <t xml:space="preserve">5 = สัญญา ≥3 ปี + สิทธิ์ต่ออายุ</t>
  </si>
  <si>
    <t xml:space="preserve">รวม / TOTAL</t>
  </si>
  <si>
    <t xml:space="preserve">คะแนนเต็ม 5.00</t>
  </si>
  <si>
    <t xml:space="preserve">ผลประเมิน / VERDICT</t>
  </si>
  <si>
    <t xml:space="preserve">SAMSUNG
COMMERCIAL</t>
  </si>
  <si>
    <t xml:space="preserve">ชื่อบริษัท / ที่อยู่ / โทรศัพท์
(แก้ไขข้อความนี้ให้เป็นข้อมูลตัวแทนจำหน่ายของท่าน)</t>
  </si>
  <si>
    <t xml:space="preserve">INVESTMENT SUMMARY / สรุปการลงทุน ร้านสะดวกซัก</t>
  </si>
  <si>
    <t xml:space="preserve">PROJECT / โครงการ</t>
  </si>
  <si>
    <t xml:space="preserve">ชื่อโครงการ / Project</t>
  </si>
  <si>
    <t xml:space="preserve">เงินลงทุนเจ้าของ / Equity</t>
  </si>
  <si>
    <t xml:space="preserve">รายได้/เดือน / Revenue</t>
  </si>
  <si>
    <t xml:space="preserve">ประเภททำเล</t>
  </si>
  <si>
    <t xml:space="preserve">กำไรสุทธิ/เดือน / Net profit</t>
  </si>
  <si>
    <t xml:space="preserve">แพ็กเกจ / Package</t>
  </si>
  <si>
    <t xml:space="preserve">ระยะคืนทุน / Payback (เดือน)</t>
  </si>
  <si>
    <t xml:space="preserve">จำนวนเครื่อง / Units</t>
  </si>
  <si>
    <t xml:space="preserve">คะแนนทำเล / Location score</t>
  </si>
  <si>
    <t xml:space="preserve">IRR 5 ปี (โครงการ)</t>
  </si>
  <si>
    <t xml:space="preserve">ASSUMPTIONS / สมมติฐาน (ใช้คุยกับลูกค้า)</t>
  </si>
  <si>
    <t xml:space="preserve">ประชากรในพื้นที่ (คน)</t>
  </si>
  <si>
    <t xml:space="preserve">% ที่ใช้บริการ</t>
  </si>
  <si>
    <t xml:space="preserve">ความถี่ (ครั้ง/คน/เดือน)</t>
  </si>
  <si>
    <t xml:space="preserve">ลูกค้าคาดการณ์ (คน/เดือน)</t>
  </si>
  <si>
    <t xml:space="preserve">ราคา/รอบซัก (บาท)</t>
  </si>
  <si>
    <t xml:space="preserve">ราคา/รอบอบ (บาท)</t>
  </si>
  <si>
    <t xml:space="preserve">เวลา/รอบซัก (นาที)</t>
  </si>
  <si>
    <t xml:space="preserve">เวลา/รอบอบ (นาที)</t>
  </si>
  <si>
    <t xml:space="preserve">ชั่วโมงเปิด/วัน</t>
  </si>
  <si>
    <t xml:space="preserve">วันเปิด/เดือน</t>
  </si>
  <si>
    <t xml:space="preserve">% ใช้งานวันธรรมดา</t>
  </si>
  <si>
    <t xml:space="preserve">% ใช้งานวันหยุด</t>
  </si>
  <si>
    <t xml:space="preserve">ค่าเช่า (บาท/เดือน)</t>
  </si>
  <si>
    <t xml:space="preserve">ค่าจ้างพนักงาน (บาท/เดือน)</t>
  </si>
  <si>
    <t xml:space="preserve">ค่าไฟ+น้ำ (บาท/เดือน)</t>
  </si>
  <si>
    <t xml:space="preserve">ค่าแก๊ส LPG (บาท/เดือน)</t>
  </si>
  <si>
    <t xml:space="preserve">รอบที่ขายได้ (รอบ/เดือน)</t>
  </si>
  <si>
    <t xml:space="preserve">จุดคุ้มทุน (บาท/เดือน)</t>
  </si>
  <si>
    <t xml:space="preserve">MONTHLY P&amp;L / งบกำไรขาดทุนต่อเดือน</t>
  </si>
  <si>
    <t xml:space="preserve">รายได้รวม / Revenue</t>
  </si>
  <si>
    <t xml:space="preserve">ต้นทุนผันแปร / Variable cost</t>
  </si>
  <si>
    <t xml:space="preserve">ค่าใช้จ่ายคงที่ / Fixed cost</t>
  </si>
  <si>
    <t xml:space="preserve">ค่าเสื่อม + ดอกเบี้ย + ภาษี</t>
  </si>
  <si>
    <t xml:space="preserve">ผู้เสนอ / Proposed by</t>
  </si>
  <si>
    <t xml:space="preserve">ผู้อนุมัติ / Approved by</t>
  </si>
  <si>
    <t xml:space="preserve">____________________________</t>
  </si>
  <si>
    <t xml:space="preserve">วันที่ ____ / ____ / ______</t>
  </si>
  <si>
    <t xml:space="preserve">เอกสารนี้เป็นการประมาณการเพื่อประกอบการตัดสินใจ ผลลัพธ์จริงขึ้นกับทำเล พฤติกรรมผู้บริโภค และการบริหารจัดการ</t>
  </si>
  <si>
    <t xml:space="preserve">PackageCode</t>
  </si>
  <si>
    <t xml:space="preserve">RevenueMode</t>
  </si>
  <si>
    <t xml:space="preserve">UtilityModel</t>
  </si>
  <si>
    <t xml:space="preserve">YesNo</t>
  </si>
  <si>
    <t xml:space="preserve">PayMode</t>
  </si>
  <si>
    <t xml:space="preserve">CapturePct</t>
  </si>
  <si>
    <t xml:space="preserve">VatRate</t>
  </si>
  <si>
    <t xml:space="preserve">Owner</t>
  </si>
  <si>
    <t xml:space="preserve">LocType</t>
  </si>
  <si>
    <t xml:space="preserve">Score</t>
  </si>
  <si>
    <t xml:space="preserve">A: รวมรอบ (ซัก+อบ ราคาเดียว)</t>
  </si>
  <si>
    <t xml:space="preserve">1: % ของยอดขาย</t>
  </si>
  <si>
    <t xml:space="preserve">Yes / ใช่</t>
  </si>
  <si>
    <t xml:space="preserve">ไม่เปิดสแกน (จ่ายค่าบริการระบบ)</t>
  </si>
  <si>
    <t xml:space="preserve">Sales 2</t>
  </si>
  <si>
    <t xml:space="preserve">ในหมู่บ้านจัดสรร</t>
  </si>
  <si>
    <t xml:space="preserve">Sales 3</t>
  </si>
  <si>
    <t xml:space="preserve">ริมถนนหลัก/ปั๊มน้ำมัน</t>
  </si>
  <si>
    <t xml:space="preserve">อื่นๆ</t>
  </si>
  <si>
    <t xml:space="preserve">ใกล้ตลาด/ชุมชน</t>
  </si>
  <si>
    <t xml:space="preserve">ในห้างฯ/คอมมูนิตี้มอลล์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</si>
</sst>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\-mm\-yyyy"/>
    <numFmt numFmtId="166" formatCode="#,##0;\(#,##0\);\-"/>
    <numFmt numFmtId="167" formatCode="0.0%"/>
    <numFmt numFmtId="168" formatCode="#,##0.0;\(#,##0.0\);\-"/>
    <numFmt numFmtId="169" formatCode="#,##0.00;\(#,##0.00\);\-"/>
    <numFmt numFmtId="170" formatCode="0.00"/>
    <numFmt numFmtId="171" formatCode="0.0000"/>
    <numFmt numFmtId="172" formatCode="0.0\x"/>
  </numFmts>
  <fonts count="3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Tahoma"/>
      <family val="0"/>
      <charset val="1"/>
    </font>
    <font>
      <sz val="10"/>
      <color rgb="FF595959"/>
      <name val="Tahoma"/>
      <family val="0"/>
      <charset val="1"/>
    </font>
    <font>
      <b val="true"/>
      <sz val="12"/>
      <color rgb="FFFFFFFF"/>
      <name val="Tahoma"/>
      <family val="0"/>
      <charset val="1"/>
    </font>
    <font>
      <b val="true"/>
      <sz val="10"/>
      <color rgb="FF000000"/>
      <name val="Tahoma"/>
      <family val="0"/>
      <charset val="1"/>
    </font>
    <font>
      <sz val="10"/>
      <color rgb="FF000000"/>
      <name val="Tahoma"/>
      <family val="0"/>
      <charset val="1"/>
    </font>
    <font>
      <b val="true"/>
      <sz val="10"/>
      <color rgb="FF0000FF"/>
      <name val="Tahoma"/>
      <family val="0"/>
      <charset val="1"/>
    </font>
    <font>
      <b val="true"/>
      <sz val="10"/>
      <color rgb="FF008000"/>
      <name val="Tahoma"/>
      <family val="0"/>
      <charset val="1"/>
    </font>
    <font>
      <sz val="10"/>
      <color rgb="FFC00000"/>
      <name val="Tahoma"/>
      <family val="0"/>
      <charset val="1"/>
    </font>
    <font>
      <b val="true"/>
      <sz val="15"/>
      <color rgb="FFFFFFFF"/>
      <name val="Tahoma"/>
      <family val="0"/>
      <charset val="1"/>
    </font>
    <font>
      <i val="true"/>
      <sz val="9"/>
      <color rgb="FF595959"/>
      <name val="Tahoma"/>
      <family val="0"/>
      <charset val="1"/>
    </font>
    <font>
      <b val="true"/>
      <sz val="11"/>
      <color rgb="FFFFFFFF"/>
      <name val="Tahoma"/>
      <family val="0"/>
      <charset val="1"/>
    </font>
    <font>
      <sz val="9"/>
      <color rgb="FF808080"/>
      <name val="Tahoma"/>
      <family val="0"/>
      <charset val="1"/>
    </font>
    <font>
      <sz val="9"/>
      <color rgb="FF595959"/>
      <name val="Tahoma"/>
      <family val="0"/>
      <charset val="1"/>
    </font>
    <font>
      <sz val="10"/>
      <color rgb="FF008000"/>
      <name val="Tahoma"/>
      <family val="0"/>
      <charset val="1"/>
    </font>
    <font>
      <sz val="10"/>
      <name val="FreeSans"/>
      <family val="2"/>
    </font>
    <font>
      <sz val="10"/>
      <name val="Arial"/>
      <family val="2"/>
    </font>
    <font>
      <b val="true"/>
      <sz val="14"/>
      <color rgb="FFFFFFFF"/>
      <name val="Tahoma"/>
      <family val="0"/>
      <charset val="1"/>
    </font>
    <font>
      <i val="true"/>
      <sz val="9"/>
      <color rgb="FFC00000"/>
      <name val="Tahoma"/>
      <family val="0"/>
      <charset val="1"/>
    </font>
    <font>
      <b val="true"/>
      <sz val="9"/>
      <color rgb="FFFFFFFF"/>
      <name val="Tahoma"/>
      <family val="0"/>
      <charset val="1"/>
    </font>
    <font>
      <sz val="8"/>
      <color rgb="FF595959"/>
      <name val="Tahoma"/>
      <family val="0"/>
      <charset val="1"/>
    </font>
    <font>
      <sz val="10"/>
      <color rgb="FF0000FF"/>
      <name val="Tahoma"/>
      <family val="0"/>
      <charset val="1"/>
    </font>
    <font>
      <sz val="9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sz val="9"/>
      <color rgb="FF404040"/>
      <name val="Tahoma"/>
      <family val="0"/>
      <charset val="1"/>
    </font>
    <font>
      <b val="true"/>
      <sz val="14"/>
      <color rgb="FF0B1A4A"/>
      <name val="Tahoma"/>
      <family val="0"/>
      <charset val="1"/>
    </font>
    <font>
      <sz val="8"/>
      <color rgb="FF808080"/>
      <name val="Tahoma"/>
      <family val="0"/>
      <charset val="1"/>
    </font>
    <font>
      <b val="true"/>
      <sz val="10"/>
      <color rgb="FFFFFFFF"/>
      <name val="Tahoma"/>
      <family val="0"/>
      <charset val="1"/>
    </font>
    <font>
      <b val="true"/>
      <sz val="12"/>
      <color rgb="FF000000"/>
      <name val="Tahoma"/>
      <family val="0"/>
      <charset val="1"/>
    </font>
    <font>
      <b val="true"/>
      <sz val="8"/>
      <color rgb="FFBFBFBF"/>
      <name val="Tahoma"/>
      <family val="0"/>
      <charset val="1"/>
    </font>
    <font>
      <b val="true"/>
      <sz val="9"/>
      <color rgb="FF000000"/>
      <name val="Tahoma"/>
      <family val="0"/>
      <charset val="1"/>
    </font>
    <font>
      <sz val="8"/>
      <color rgb="FFBFBFBF"/>
      <name val="Tahoma"/>
      <family val="0"/>
      <charset val="1"/>
    </font>
    <font>
      <b val="true"/>
      <sz val="16"/>
      <color rgb="FF1428A0"/>
      <name val="Tahoma"/>
      <family val="0"/>
      <charset val="1"/>
    </font>
    <font>
      <b val="true"/>
      <sz val="11"/>
      <color rgb="FF000000"/>
      <name val="Tahoma"/>
      <family val="0"/>
      <charset val="1"/>
    </font>
    <font>
      <i val="true"/>
      <sz val="8"/>
      <color rgb="FF808080"/>
      <name val="Tahoma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428A0"/>
        <bgColor rgb="FF0B1A4A"/>
      </patternFill>
    </fill>
    <fill>
      <patternFill patternType="solid">
        <fgColor rgb="FFF2F2F2"/>
        <bgColor rgb="FFE2EFDA"/>
      </patternFill>
    </fill>
    <fill>
      <patternFill patternType="solid">
        <fgColor rgb="FF111111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0B1A4A"/>
        <bgColor rgb="FF111111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2F2F2"/>
      </patternFill>
    </fill>
    <fill>
      <patternFill patternType="solid">
        <fgColor rgb="FFC00000"/>
        <bgColor rgb="FF80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2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2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2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2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3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2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2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5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5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2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3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3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CE4D6"/>
        </patternFill>
      </fill>
    </dxf>
    <dxf>
      <fill>
        <patternFill>
          <bgColor rgb="FFE2EFDA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7030A0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000"/>
      <rgbColor rgb="FFFF9900"/>
      <rgbColor rgb="FFED7D31"/>
      <rgbColor rgb="FF595959"/>
      <rgbColor rgb="FFA6A6A6"/>
      <rgbColor rgb="FF0B1A4A"/>
      <rgbColor rgb="FF70AD47"/>
      <rgbColor rgb="FF111111"/>
      <rgbColor rgb="FF333300"/>
      <rgbColor rgb="FF993300"/>
      <rgbColor rgb="FF993366"/>
      <rgbColor rgb="FF1428A0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04040"/>
    <pageSetUpPr fitToPage="true"/>
  </sheetPr>
  <dimension ref="A1:B5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12"/>
  </cols>
  <sheetData>
    <row r="1" customFormat="false" ht="33.75" hidden="false" customHeight="true" outlineLevel="0" collapsed="false">
      <c r="A1" s="1" t="s">
        <v>0</v>
      </c>
      <c r="B1" s="1"/>
    </row>
    <row r="2" customFormat="false" ht="12.65" hidden="false" customHeight="false" outlineLevel="0" collapsed="false">
      <c r="A2" s="2" t="s">
        <v>1</v>
      </c>
      <c r="B2" s="2"/>
    </row>
    <row r="4" customFormat="false" ht="21.75" hidden="false" customHeight="true" outlineLevel="0" collapsed="false">
      <c r="A4" s="3" t="s">
        <v>2</v>
      </c>
      <c r="B4" s="3"/>
    </row>
    <row r="5" customFormat="false" ht="15.75" hidden="false" customHeight="true" outlineLevel="0" collapsed="false">
      <c r="A5" s="4" t="s">
        <v>3</v>
      </c>
      <c r="B5" s="5" t="s">
        <v>4</v>
      </c>
    </row>
    <row r="6" customFormat="false" ht="27.75" hidden="false" customHeight="true" outlineLevel="0" collapsed="false">
      <c r="A6" s="4" t="s">
        <v>5</v>
      </c>
      <c r="B6" s="5" t="s">
        <v>6</v>
      </c>
    </row>
    <row r="7" customFormat="false" ht="15.75" hidden="false" customHeight="true" outlineLevel="0" collapsed="false">
      <c r="A7" s="4" t="s">
        <v>7</v>
      </c>
      <c r="B7" s="5" t="s">
        <v>8</v>
      </c>
    </row>
    <row r="8" customFormat="false" ht="15.75" hidden="false" customHeight="true" outlineLevel="0" collapsed="false">
      <c r="A8" s="4" t="s">
        <v>9</v>
      </c>
      <c r="B8" s="5" t="s">
        <v>10</v>
      </c>
    </row>
    <row r="9" customFormat="false" ht="27.75" hidden="false" customHeight="true" outlineLevel="0" collapsed="false">
      <c r="A9" s="4" t="s">
        <v>11</v>
      </c>
      <c r="B9" s="5" t="s">
        <v>12</v>
      </c>
    </row>
    <row r="11" customFormat="false" ht="21.75" hidden="false" customHeight="true" outlineLevel="0" collapsed="false">
      <c r="A11" s="3" t="s">
        <v>13</v>
      </c>
      <c r="B11" s="3"/>
    </row>
    <row r="12" customFormat="false" ht="15.75" hidden="false" customHeight="true" outlineLevel="0" collapsed="false">
      <c r="A12" s="4" t="s">
        <v>14</v>
      </c>
      <c r="B12" s="6" t="s">
        <v>15</v>
      </c>
    </row>
    <row r="13" customFormat="false" ht="15.75" hidden="false" customHeight="true" outlineLevel="0" collapsed="false">
      <c r="A13" s="4" t="s">
        <v>16</v>
      </c>
      <c r="B13" s="4" t="s">
        <v>17</v>
      </c>
    </row>
    <row r="14" customFormat="false" ht="15.75" hidden="false" customHeight="true" outlineLevel="0" collapsed="false">
      <c r="A14" s="4" t="s">
        <v>18</v>
      </c>
      <c r="B14" s="7" t="s">
        <v>19</v>
      </c>
    </row>
    <row r="15" customFormat="false" ht="15.75" hidden="false" customHeight="true" outlineLevel="0" collapsed="false">
      <c r="A15" s="4" t="s">
        <v>20</v>
      </c>
      <c r="B15" s="4" t="s">
        <v>21</v>
      </c>
    </row>
    <row r="17" customFormat="false" ht="21.75" hidden="false" customHeight="true" outlineLevel="0" collapsed="false">
      <c r="A17" s="3" t="s">
        <v>22</v>
      </c>
      <c r="B17" s="3"/>
    </row>
    <row r="18" customFormat="false" ht="15.75" hidden="false" customHeight="true" outlineLevel="0" collapsed="false">
      <c r="A18" s="4" t="s">
        <v>23</v>
      </c>
      <c r="B18" s="5" t="s">
        <v>24</v>
      </c>
    </row>
    <row r="19" customFormat="false" ht="27.75" hidden="false" customHeight="true" outlineLevel="0" collapsed="false">
      <c r="A19" s="4" t="s">
        <v>25</v>
      </c>
      <c r="B19" s="5" t="s">
        <v>26</v>
      </c>
    </row>
    <row r="20" customFormat="false" ht="27.75" hidden="false" customHeight="true" outlineLevel="0" collapsed="false">
      <c r="A20" s="4" t="s">
        <v>27</v>
      </c>
      <c r="B20" s="5" t="s">
        <v>28</v>
      </c>
    </row>
    <row r="21" customFormat="false" ht="27.75" hidden="false" customHeight="true" outlineLevel="0" collapsed="false">
      <c r="A21" s="4" t="s">
        <v>29</v>
      </c>
      <c r="B21" s="5" t="s">
        <v>30</v>
      </c>
    </row>
    <row r="22" customFormat="false" ht="15.75" hidden="false" customHeight="true" outlineLevel="0" collapsed="false">
      <c r="A22" s="4" t="s">
        <v>31</v>
      </c>
      <c r="B22" s="5" t="s">
        <v>32</v>
      </c>
    </row>
    <row r="23" customFormat="false" ht="15.75" hidden="false" customHeight="true" outlineLevel="0" collapsed="false">
      <c r="A23" s="4" t="s">
        <v>33</v>
      </c>
      <c r="B23" s="5" t="s">
        <v>34</v>
      </c>
    </row>
    <row r="24" customFormat="false" ht="15.75" hidden="false" customHeight="true" outlineLevel="0" collapsed="false">
      <c r="A24" s="4" t="s">
        <v>35</v>
      </c>
      <c r="B24" s="5" t="s">
        <v>36</v>
      </c>
    </row>
    <row r="25" customFormat="false" ht="15.75" hidden="false" customHeight="true" outlineLevel="0" collapsed="false">
      <c r="A25" s="4" t="s">
        <v>37</v>
      </c>
      <c r="B25" s="5" t="s">
        <v>38</v>
      </c>
    </row>
    <row r="26" customFormat="false" ht="15.75" hidden="false" customHeight="true" outlineLevel="0" collapsed="false">
      <c r="A26" s="4" t="s">
        <v>39</v>
      </c>
      <c r="B26" s="5" t="s">
        <v>40</v>
      </c>
    </row>
    <row r="27" customFormat="false" ht="15.75" hidden="false" customHeight="true" outlineLevel="0" collapsed="false">
      <c r="A27" s="4" t="s">
        <v>41</v>
      </c>
      <c r="B27" s="5" t="s">
        <v>42</v>
      </c>
    </row>
    <row r="28" customFormat="false" ht="15.75" hidden="false" customHeight="true" outlineLevel="0" collapsed="false">
      <c r="A28" s="4" t="s">
        <v>43</v>
      </c>
      <c r="B28" s="5" t="s">
        <v>44</v>
      </c>
    </row>
    <row r="30" customFormat="false" ht="21.75" hidden="false" customHeight="true" outlineLevel="0" collapsed="false">
      <c r="A30" s="3" t="s">
        <v>45</v>
      </c>
      <c r="B30" s="3"/>
    </row>
    <row r="31" customFormat="false" ht="15.75" hidden="false" customHeight="true" outlineLevel="0" collapsed="false">
      <c r="A31" s="4" t="s">
        <v>46</v>
      </c>
      <c r="B31" s="5" t="s">
        <v>47</v>
      </c>
    </row>
    <row r="32" customFormat="false" ht="15.75" hidden="false" customHeight="true" outlineLevel="0" collapsed="false">
      <c r="A32" s="4" t="s">
        <v>48</v>
      </c>
      <c r="B32" s="5" t="s">
        <v>49</v>
      </c>
    </row>
    <row r="33" customFormat="false" ht="15.75" hidden="false" customHeight="true" outlineLevel="0" collapsed="false">
      <c r="A33" s="4" t="s">
        <v>50</v>
      </c>
      <c r="B33" s="5" t="s">
        <v>51</v>
      </c>
    </row>
    <row r="34" customFormat="false" ht="15.75" hidden="false" customHeight="true" outlineLevel="0" collapsed="false">
      <c r="A34" s="4" t="s">
        <v>52</v>
      </c>
      <c r="B34" s="5" t="s">
        <v>53</v>
      </c>
    </row>
    <row r="35" customFormat="false" ht="27.75" hidden="false" customHeight="true" outlineLevel="0" collapsed="false">
      <c r="A35" s="4" t="s">
        <v>54</v>
      </c>
      <c r="B35" s="5" t="s">
        <v>55</v>
      </c>
    </row>
    <row r="36" customFormat="false" ht="15.75" hidden="false" customHeight="true" outlineLevel="0" collapsed="false">
      <c r="A36" s="4" t="s">
        <v>56</v>
      </c>
      <c r="B36" s="5" t="s">
        <v>57</v>
      </c>
    </row>
    <row r="37" customFormat="false" ht="27.75" hidden="false" customHeight="true" outlineLevel="0" collapsed="false">
      <c r="A37" s="4" t="s">
        <v>58</v>
      </c>
      <c r="B37" s="5" t="s">
        <v>59</v>
      </c>
    </row>
    <row r="38" customFormat="false" ht="42" hidden="false" customHeight="true" outlineLevel="0" collapsed="false">
      <c r="A38" s="4" t="s">
        <v>60</v>
      </c>
      <c r="B38" s="5" t="s">
        <v>61</v>
      </c>
    </row>
    <row r="40" customFormat="false" ht="21.75" hidden="false" customHeight="true" outlineLevel="0" collapsed="false">
      <c r="A40" s="3" t="s">
        <v>62</v>
      </c>
      <c r="B40" s="3"/>
    </row>
    <row r="41" customFormat="false" ht="27.75" hidden="false" customHeight="true" outlineLevel="0" collapsed="false">
      <c r="A41" s="4" t="s">
        <v>63</v>
      </c>
      <c r="B41" s="8" t="s">
        <v>64</v>
      </c>
    </row>
    <row r="42" customFormat="false" ht="15.75" hidden="false" customHeight="true" outlineLevel="0" collapsed="false">
      <c r="A42" s="4" t="s">
        <v>65</v>
      </c>
      <c r="B42" s="8" t="s">
        <v>66</v>
      </c>
    </row>
    <row r="43" customFormat="false" ht="15.75" hidden="false" customHeight="true" outlineLevel="0" collapsed="false">
      <c r="A43" s="4" t="s">
        <v>67</v>
      </c>
      <c r="B43" s="8" t="s">
        <v>68</v>
      </c>
    </row>
    <row r="44" customFormat="false" ht="27.75" hidden="false" customHeight="true" outlineLevel="0" collapsed="false">
      <c r="A44" s="4" t="s">
        <v>69</v>
      </c>
      <c r="B44" s="8" t="s">
        <v>70</v>
      </c>
    </row>
    <row r="45" customFormat="false" ht="27.75" hidden="false" customHeight="true" outlineLevel="0" collapsed="false">
      <c r="A45" s="4" t="s">
        <v>71</v>
      </c>
      <c r="B45" s="8" t="s">
        <v>72</v>
      </c>
    </row>
    <row r="46" customFormat="false" ht="15.75" hidden="false" customHeight="true" outlineLevel="0" collapsed="false">
      <c r="A46" s="4" t="s">
        <v>73</v>
      </c>
      <c r="B46" s="8" t="s">
        <v>74</v>
      </c>
    </row>
    <row r="48" customFormat="false" ht="21.75" hidden="false" customHeight="true" outlineLevel="0" collapsed="false">
      <c r="A48" s="3" t="s">
        <v>75</v>
      </c>
      <c r="B48" s="3"/>
    </row>
    <row r="49" customFormat="false" ht="27.75" hidden="false" customHeight="true" outlineLevel="0" collapsed="false">
      <c r="A49" s="4" t="s">
        <v>76</v>
      </c>
      <c r="B49" s="5" t="s">
        <v>77</v>
      </c>
    </row>
    <row r="50" customFormat="false" ht="27.75" hidden="false" customHeight="true" outlineLevel="0" collapsed="false">
      <c r="A50" s="4" t="s">
        <v>78</v>
      </c>
      <c r="B50" s="5" t="s">
        <v>79</v>
      </c>
    </row>
    <row r="51" customFormat="false" ht="15.75" hidden="false" customHeight="true" outlineLevel="0" collapsed="false">
      <c r="A51" s="4" t="s">
        <v>80</v>
      </c>
      <c r="B51" s="5" t="s">
        <v>81</v>
      </c>
    </row>
    <row r="52" customFormat="false" ht="27.75" hidden="false" customHeight="true" outlineLevel="0" collapsed="false">
      <c r="A52" s="4" t="s">
        <v>82</v>
      </c>
      <c r="B52" s="5" t="s">
        <v>83</v>
      </c>
    </row>
    <row r="53" customFormat="false" ht="15.75" hidden="false" customHeight="true" outlineLevel="0" collapsed="false">
      <c r="A53" s="4" t="s">
        <v>84</v>
      </c>
      <c r="B53" s="5" t="s">
        <v>85</v>
      </c>
    </row>
    <row r="54" customFormat="false" ht="15.75" hidden="false" customHeight="true" outlineLevel="0" collapsed="false">
      <c r="A54" s="4" t="s">
        <v>86</v>
      </c>
      <c r="B54" s="5" t="s">
        <v>87</v>
      </c>
    </row>
    <row r="55" customFormat="false" ht="27.75" hidden="false" customHeight="true" outlineLevel="0" collapsed="false">
      <c r="A55" s="4" t="s">
        <v>88</v>
      </c>
      <c r="B55" s="5" t="s">
        <v>89</v>
      </c>
    </row>
    <row r="56" customFormat="false" ht="27.75" hidden="false" customHeight="true" outlineLevel="0" collapsed="false">
      <c r="A56" s="4" t="s">
        <v>90</v>
      </c>
      <c r="B56" s="5" t="s">
        <v>91</v>
      </c>
    </row>
  </sheetData>
  <mergeCells count="8">
    <mergeCell ref="A1:B1"/>
    <mergeCell ref="A2:B2"/>
    <mergeCell ref="A4:B4"/>
    <mergeCell ref="A11:B11"/>
    <mergeCell ref="A17:B17"/>
    <mergeCell ref="A30:B30"/>
    <mergeCell ref="A40:B40"/>
    <mergeCell ref="A48:B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G1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56"/>
  </cols>
  <sheetData>
    <row r="1" customFormat="false" ht="30" hidden="false" customHeight="true" outlineLevel="0" collapsed="false">
      <c r="A1" s="9" t="s">
        <v>92</v>
      </c>
      <c r="B1" s="9"/>
      <c r="C1" s="9"/>
      <c r="D1" s="9"/>
      <c r="E1" s="9"/>
    </row>
    <row r="2" customFormat="false" ht="15" hidden="false" customHeight="false" outlineLevel="0" collapsed="false">
      <c r="A2" s="10" t="s">
        <v>93</v>
      </c>
      <c r="B2" s="10"/>
      <c r="C2" s="10"/>
      <c r="D2" s="10"/>
      <c r="E2" s="10"/>
    </row>
    <row r="4" customFormat="false" ht="19.5" hidden="false" customHeight="true" outlineLevel="0" collapsed="false">
      <c r="A4" s="11" t="s">
        <v>94</v>
      </c>
      <c r="B4" s="11"/>
      <c r="C4" s="11"/>
      <c r="D4" s="11"/>
      <c r="E4" s="11"/>
      <c r="F4" s="12"/>
      <c r="G4" s="12"/>
    </row>
    <row r="5" customFormat="false" ht="15" hidden="false" customHeight="false" outlineLevel="0" collapsed="false">
      <c r="A5" s="13" t="s">
        <v>95</v>
      </c>
      <c r="B5" s="14" t="s">
        <v>96</v>
      </c>
      <c r="D5" s="15" t="s">
        <v>97</v>
      </c>
      <c r="E5" s="16" t="s">
        <v>98</v>
      </c>
    </row>
    <row r="6" customFormat="false" ht="15" hidden="false" customHeight="false" outlineLevel="0" collapsed="false">
      <c r="A6" s="13" t="s">
        <v>99</v>
      </c>
      <c r="B6" s="14" t="s">
        <v>100</v>
      </c>
      <c r="D6" s="15" t="s">
        <v>97</v>
      </c>
      <c r="E6" s="16"/>
    </row>
    <row r="7" customFormat="false" ht="15" hidden="false" customHeight="false" outlineLevel="0" collapsed="false">
      <c r="A7" s="13" t="s">
        <v>101</v>
      </c>
      <c r="B7" s="14" t="s">
        <v>102</v>
      </c>
      <c r="D7" s="15" t="s">
        <v>97</v>
      </c>
      <c r="E7" s="16"/>
    </row>
    <row r="8" customFormat="false" ht="15" hidden="false" customHeight="false" outlineLevel="0" collapsed="false">
      <c r="A8" s="13" t="s">
        <v>103</v>
      </c>
      <c r="B8" s="14" t="s">
        <v>104</v>
      </c>
      <c r="D8" s="15" t="s">
        <v>105</v>
      </c>
      <c r="E8" s="16" t="s">
        <v>106</v>
      </c>
    </row>
    <row r="9" customFormat="false" ht="15" hidden="false" customHeight="false" outlineLevel="0" collapsed="false">
      <c r="A9" s="13" t="s">
        <v>107</v>
      </c>
      <c r="B9" s="14" t="s">
        <v>108</v>
      </c>
      <c r="D9" s="15" t="s">
        <v>105</v>
      </c>
      <c r="E9" s="16"/>
    </row>
    <row r="10" customFormat="false" ht="15" hidden="false" customHeight="false" outlineLevel="0" collapsed="false">
      <c r="A10" s="13" t="s">
        <v>109</v>
      </c>
      <c r="B10" s="17" t="n">
        <v>46284</v>
      </c>
      <c r="D10" s="15" t="s">
        <v>97</v>
      </c>
      <c r="E10" s="16"/>
    </row>
    <row r="12" customFormat="false" ht="19.5" hidden="false" customHeight="true" outlineLevel="0" collapsed="false">
      <c r="A12" s="11" t="s">
        <v>110</v>
      </c>
      <c r="B12" s="11"/>
      <c r="C12" s="11"/>
      <c r="D12" s="11"/>
      <c r="E12" s="11"/>
      <c r="F12" s="12"/>
      <c r="G12" s="12"/>
    </row>
    <row r="13" customFormat="false" ht="15" hidden="false" customHeight="false" outlineLevel="0" collapsed="false">
      <c r="A13" s="13" t="s">
        <v>111</v>
      </c>
      <c r="B13" s="18" t="n">
        <v>3000</v>
      </c>
      <c r="D13" s="15" t="s">
        <v>97</v>
      </c>
      <c r="E13" s="16" t="s">
        <v>112</v>
      </c>
    </row>
    <row r="14" customFormat="false" ht="15" hidden="false" customHeight="false" outlineLevel="0" collapsed="false">
      <c r="A14" s="13" t="s">
        <v>113</v>
      </c>
      <c r="B14" s="19" t="n">
        <v>0.35</v>
      </c>
      <c r="D14" s="15" t="s">
        <v>114</v>
      </c>
      <c r="E14" s="16" t="s">
        <v>115</v>
      </c>
    </row>
    <row r="15" customFormat="false" ht="15" hidden="false" customHeight="false" outlineLevel="0" collapsed="false">
      <c r="A15" s="13" t="s">
        <v>116</v>
      </c>
      <c r="B15" s="18" t="n">
        <v>1</v>
      </c>
      <c r="D15" s="15" t="s">
        <v>97</v>
      </c>
      <c r="E15" s="16" t="s">
        <v>117</v>
      </c>
    </row>
    <row r="16" customFormat="false" ht="15" hidden="false" customHeight="false" outlineLevel="0" collapsed="false">
      <c r="A16" s="13" t="s">
        <v>118</v>
      </c>
      <c r="B16" s="20" t="n">
        <f aca="false">IFERROR(1/(1+A_INPUT!$B$15*0.6),1)</f>
        <v>0.625</v>
      </c>
      <c r="D16" s="15" t="s">
        <v>119</v>
      </c>
      <c r="E16" s="16" t="s">
        <v>120</v>
      </c>
    </row>
    <row r="17" customFormat="false" ht="15" hidden="false" customHeight="false" outlineLevel="0" collapsed="false">
      <c r="A17" s="13" t="s">
        <v>121</v>
      </c>
      <c r="B17" s="21" t="n">
        <f aca="false">A_INPUT!$B$13*A_INPUT!$B$14*A_INPUT!$B$16</f>
        <v>656.25</v>
      </c>
      <c r="D17" s="15" t="s">
        <v>119</v>
      </c>
      <c r="E17" s="16" t="s">
        <v>122</v>
      </c>
    </row>
    <row r="18" customFormat="false" ht="15" hidden="false" customHeight="false" outlineLevel="0" collapsed="false">
      <c r="A18" s="13" t="s">
        <v>123</v>
      </c>
      <c r="B18" s="22" t="n">
        <v>3</v>
      </c>
      <c r="D18" s="15" t="s">
        <v>97</v>
      </c>
      <c r="E18" s="16" t="s">
        <v>124</v>
      </c>
    </row>
    <row r="19" customFormat="false" ht="15" hidden="false" customHeight="false" outlineLevel="0" collapsed="false">
      <c r="A19" s="13" t="s">
        <v>125</v>
      </c>
      <c r="B19" s="22" t="n">
        <v>1.2</v>
      </c>
      <c r="D19" s="15" t="s">
        <v>97</v>
      </c>
      <c r="E19" s="16" t="s">
        <v>126</v>
      </c>
    </row>
    <row r="20" customFormat="false" ht="15" hidden="false" customHeight="false" outlineLevel="0" collapsed="false">
      <c r="A20" s="13" t="s">
        <v>127</v>
      </c>
      <c r="B20" s="19" t="n">
        <v>0.75</v>
      </c>
      <c r="D20" s="15" t="s">
        <v>97</v>
      </c>
      <c r="E20" s="16" t="s">
        <v>128</v>
      </c>
    </row>
    <row r="21" customFormat="false" ht="15" hidden="false" customHeight="false" outlineLevel="0" collapsed="false">
      <c r="A21" s="13" t="s">
        <v>129</v>
      </c>
      <c r="B21" s="21" t="n">
        <f aca="false">A_INPUT!$B$17*A_INPUT!$B$18*A_INPUT!$B$19</f>
        <v>2362.5</v>
      </c>
      <c r="D21" s="15" t="s">
        <v>119</v>
      </c>
      <c r="E21" s="16" t="s">
        <v>130</v>
      </c>
    </row>
    <row r="22" customFormat="false" ht="15" hidden="false" customHeight="false" outlineLevel="0" collapsed="false">
      <c r="A22" s="13" t="s">
        <v>131</v>
      </c>
      <c r="B22" s="21" t="n">
        <f aca="false">A_INPUT!$B$21*A_INPUT!$B$20</f>
        <v>1771.875</v>
      </c>
      <c r="D22" s="15" t="s">
        <v>119</v>
      </c>
      <c r="E22" s="16" t="s">
        <v>130</v>
      </c>
    </row>
    <row r="24" customFormat="false" ht="19.5" hidden="false" customHeight="true" outlineLevel="0" collapsed="false">
      <c r="A24" s="11" t="s">
        <v>132</v>
      </c>
      <c r="B24" s="11"/>
      <c r="C24" s="11"/>
      <c r="D24" s="11"/>
      <c r="E24" s="11"/>
      <c r="F24" s="12"/>
      <c r="G24" s="12"/>
    </row>
    <row r="25" customFormat="false" ht="22.35" hidden="false" customHeight="false" outlineLevel="0" collapsed="false">
      <c r="A25" s="13" t="s">
        <v>133</v>
      </c>
      <c r="B25" s="14" t="s">
        <v>134</v>
      </c>
      <c r="D25" s="15" t="s">
        <v>105</v>
      </c>
      <c r="E25" s="16" t="s">
        <v>135</v>
      </c>
    </row>
    <row r="26" customFormat="false" ht="22.35" hidden="false" customHeight="false" outlineLevel="0" collapsed="false">
      <c r="A26" s="13" t="s">
        <v>136</v>
      </c>
      <c r="B26" s="14" t="s">
        <v>137</v>
      </c>
      <c r="D26" s="15" t="s">
        <v>105</v>
      </c>
      <c r="E26" s="16" t="s">
        <v>138</v>
      </c>
    </row>
    <row r="27" customFormat="false" ht="15" hidden="false" customHeight="false" outlineLevel="0" collapsed="false">
      <c r="A27" s="13" t="s">
        <v>139</v>
      </c>
      <c r="B27" s="23" t="n">
        <f aca="false">INDEX(B_PACKAGES!$D$14:$G$14,MATCH(A_INPUT!$B$25,B_PACKAGES!$D$12:$G$12,0))</f>
        <v>5</v>
      </c>
      <c r="D27" s="15" t="s">
        <v>140</v>
      </c>
      <c r="E27" s="16" t="s">
        <v>141</v>
      </c>
    </row>
    <row r="28" customFormat="false" ht="15" hidden="false" customHeight="false" outlineLevel="0" collapsed="false">
      <c r="A28" s="13" t="s">
        <v>142</v>
      </c>
      <c r="B28" s="23" t="n">
        <f aca="false">INDEX(B_PACKAGES!$D$15:$G$15,MATCH(A_INPUT!$B$25,B_PACKAGES!$D$12:$G$12,0))</f>
        <v>5</v>
      </c>
      <c r="D28" s="15" t="s">
        <v>140</v>
      </c>
      <c r="E28" s="16" t="s">
        <v>141</v>
      </c>
    </row>
    <row r="29" customFormat="false" ht="15" hidden="false" customHeight="false" outlineLevel="0" collapsed="false">
      <c r="A29" s="13" t="s">
        <v>143</v>
      </c>
      <c r="B29" s="18" t="n">
        <v>0</v>
      </c>
      <c r="D29" s="15" t="s">
        <v>97</v>
      </c>
      <c r="E29" s="16"/>
    </row>
    <row r="30" customFormat="false" ht="15" hidden="false" customHeight="false" outlineLevel="0" collapsed="false">
      <c r="A30" s="13" t="s">
        <v>144</v>
      </c>
      <c r="B30" s="18" t="n">
        <v>0</v>
      </c>
      <c r="D30" s="15" t="s">
        <v>97</v>
      </c>
      <c r="E30" s="16"/>
    </row>
    <row r="31" customFormat="false" ht="15" hidden="false" customHeight="false" outlineLevel="0" collapsed="false">
      <c r="A31" s="13" t="s">
        <v>145</v>
      </c>
      <c r="B31" s="21" t="n">
        <f aca="false">IF(A_INPUT!$B$29&gt;0,A_INPUT!$B$29,A_INPUT!$B$27)</f>
        <v>5</v>
      </c>
      <c r="D31" s="15" t="s">
        <v>119</v>
      </c>
      <c r="E31" s="16" t="s">
        <v>141</v>
      </c>
    </row>
    <row r="32" customFormat="false" ht="15" hidden="false" customHeight="false" outlineLevel="0" collapsed="false">
      <c r="A32" s="13" t="s">
        <v>146</v>
      </c>
      <c r="B32" s="21" t="n">
        <f aca="false">IF(A_INPUT!$B$30&gt;0,A_INPUT!$B$30,A_INPUT!$B$28)</f>
        <v>5</v>
      </c>
      <c r="D32" s="15" t="s">
        <v>119</v>
      </c>
      <c r="E32" s="16" t="s">
        <v>141</v>
      </c>
    </row>
    <row r="33" customFormat="false" ht="15" hidden="false" customHeight="false" outlineLevel="0" collapsed="false">
      <c r="A33" s="24" t="s">
        <v>147</v>
      </c>
      <c r="B33" s="25" t="n">
        <f aca="false">A_INPUT!$B$31+A_INPUT!$B$32</f>
        <v>10</v>
      </c>
      <c r="D33" s="15" t="s">
        <v>119</v>
      </c>
      <c r="E33" s="16" t="s">
        <v>148</v>
      </c>
    </row>
    <row r="34" customFormat="false" ht="15" hidden="false" customHeight="false" outlineLevel="0" collapsed="false">
      <c r="A34" s="13" t="s">
        <v>149</v>
      </c>
      <c r="B34" s="18" t="n">
        <v>50</v>
      </c>
      <c r="D34" s="15" t="s">
        <v>97</v>
      </c>
      <c r="E34" s="16" t="s">
        <v>150</v>
      </c>
    </row>
    <row r="35" customFormat="false" ht="15" hidden="false" customHeight="false" outlineLevel="0" collapsed="false">
      <c r="A35" s="13" t="s">
        <v>151</v>
      </c>
      <c r="B35" s="18" t="n">
        <v>50</v>
      </c>
      <c r="D35" s="15" t="s">
        <v>97</v>
      </c>
      <c r="E35" s="16" t="s">
        <v>152</v>
      </c>
    </row>
    <row r="36" customFormat="false" ht="15" hidden="false" customHeight="false" outlineLevel="0" collapsed="false">
      <c r="A36" s="13" t="s">
        <v>153</v>
      </c>
      <c r="B36" s="18" t="n">
        <v>100</v>
      </c>
      <c r="D36" s="15" t="s">
        <v>97</v>
      </c>
      <c r="E36" s="16" t="s">
        <v>154</v>
      </c>
    </row>
    <row r="37" customFormat="false" ht="15" hidden="false" customHeight="false" outlineLevel="0" collapsed="false">
      <c r="A37" s="13" t="s">
        <v>155</v>
      </c>
      <c r="B37" s="22" t="n">
        <v>0</v>
      </c>
      <c r="D37" s="15" t="s">
        <v>97</v>
      </c>
      <c r="E37" s="16" t="s">
        <v>156</v>
      </c>
    </row>
    <row r="38" customFormat="false" ht="15" hidden="false" customHeight="false" outlineLevel="0" collapsed="false">
      <c r="A38" s="13" t="s">
        <v>157</v>
      </c>
      <c r="B38" s="22" t="n">
        <v>0</v>
      </c>
      <c r="D38" s="15" t="s">
        <v>97</v>
      </c>
      <c r="E38" s="16" t="s">
        <v>156</v>
      </c>
    </row>
    <row r="39" customFormat="false" ht="15" hidden="false" customHeight="false" outlineLevel="0" collapsed="false">
      <c r="A39" s="13" t="s">
        <v>158</v>
      </c>
      <c r="B39" s="22" t="n">
        <v>81</v>
      </c>
      <c r="D39" s="15" t="s">
        <v>97</v>
      </c>
      <c r="E39" s="16" t="s">
        <v>159</v>
      </c>
    </row>
    <row r="40" customFormat="false" ht="15" hidden="false" customHeight="false" outlineLevel="0" collapsed="false">
      <c r="A40" s="13" t="s">
        <v>160</v>
      </c>
      <c r="B40" s="22" t="n">
        <v>6</v>
      </c>
      <c r="D40" s="15" t="s">
        <v>97</v>
      </c>
      <c r="E40" s="16" t="s">
        <v>161</v>
      </c>
    </row>
    <row r="42" customFormat="false" ht="19.5" hidden="false" customHeight="true" outlineLevel="0" collapsed="false">
      <c r="A42" s="11" t="s">
        <v>162</v>
      </c>
      <c r="B42" s="11"/>
      <c r="C42" s="11"/>
      <c r="D42" s="11"/>
      <c r="E42" s="11"/>
      <c r="F42" s="12"/>
      <c r="G42" s="12"/>
    </row>
    <row r="43" customFormat="false" ht="15" hidden="false" customHeight="false" outlineLevel="0" collapsed="false">
      <c r="A43" s="13" t="s">
        <v>163</v>
      </c>
      <c r="B43" s="23" t="n">
        <f aca="false">INDEX(B_PACKAGES!$D$17:$G$17,MATCH(A_INPUT!$B$25,B_PACKAGES!$D$12:$G$12,0))</f>
        <v>899000</v>
      </c>
      <c r="D43" s="15" t="s">
        <v>140</v>
      </c>
      <c r="E43" s="16" t="s">
        <v>164</v>
      </c>
    </row>
    <row r="44" customFormat="false" ht="15" hidden="false" customHeight="false" outlineLevel="0" collapsed="false">
      <c r="A44" s="13" t="s">
        <v>165</v>
      </c>
      <c r="B44" s="18" t="n">
        <v>0</v>
      </c>
      <c r="D44" s="15" t="s">
        <v>97</v>
      </c>
      <c r="E44" s="16" t="s">
        <v>166</v>
      </c>
    </row>
    <row r="45" customFormat="false" ht="15" hidden="false" customHeight="false" outlineLevel="0" collapsed="false">
      <c r="A45" s="13" t="s">
        <v>167</v>
      </c>
      <c r="B45" s="23" t="n">
        <f aca="false">INDEX(B_PACKAGES!$D$34:$G$34,MATCH(A_INPUT!$B$25,B_PACKAGES!$D$12:$G$12,0))</f>
        <v>238000</v>
      </c>
      <c r="D45" s="15" t="s">
        <v>140</v>
      </c>
      <c r="E45" s="16" t="s">
        <v>168</v>
      </c>
    </row>
    <row r="46" customFormat="false" ht="15" hidden="false" customHeight="false" outlineLevel="0" collapsed="false">
      <c r="A46" s="13" t="s">
        <v>169</v>
      </c>
      <c r="B46" s="23" t="n">
        <f aca="false">B_PACKAGES!$D$49</f>
        <v>0</v>
      </c>
      <c r="D46" s="15" t="s">
        <v>140</v>
      </c>
      <c r="E46" s="16" t="s">
        <v>170</v>
      </c>
    </row>
    <row r="47" customFormat="false" ht="15" hidden="false" customHeight="false" outlineLevel="0" collapsed="false">
      <c r="A47" s="13" t="s">
        <v>171</v>
      </c>
      <c r="B47" s="18" t="n">
        <v>0</v>
      </c>
      <c r="D47" s="15" t="s">
        <v>97</v>
      </c>
      <c r="E47" s="16" t="s">
        <v>172</v>
      </c>
    </row>
    <row r="48" customFormat="false" ht="15" hidden="false" customHeight="false" outlineLevel="0" collapsed="false">
      <c r="A48" s="13" t="s">
        <v>173</v>
      </c>
      <c r="B48" s="19" t="n">
        <v>0.7</v>
      </c>
      <c r="D48" s="15" t="s">
        <v>97</v>
      </c>
      <c r="E48" s="16" t="s">
        <v>174</v>
      </c>
    </row>
    <row r="49" customFormat="false" ht="15" hidden="false" customHeight="false" outlineLevel="0" collapsed="false">
      <c r="A49" s="13" t="s">
        <v>175</v>
      </c>
      <c r="B49" s="22" t="n">
        <v>3</v>
      </c>
      <c r="D49" s="15" t="s">
        <v>97</v>
      </c>
      <c r="E49" s="16" t="s">
        <v>176</v>
      </c>
    </row>
    <row r="50" customFormat="false" ht="15" hidden="false" customHeight="false" outlineLevel="0" collapsed="false">
      <c r="A50" s="13" t="s">
        <v>177</v>
      </c>
      <c r="B50" s="18" t="n">
        <v>150000</v>
      </c>
      <c r="D50" s="15" t="s">
        <v>97</v>
      </c>
      <c r="E50" s="16" t="s">
        <v>178</v>
      </c>
    </row>
    <row r="51" customFormat="false" ht="15" hidden="false" customHeight="false" outlineLevel="0" collapsed="false">
      <c r="A51" s="13" t="s">
        <v>179</v>
      </c>
      <c r="B51" s="19" t="n">
        <v>0.07</v>
      </c>
      <c r="D51" s="15" t="s">
        <v>105</v>
      </c>
      <c r="E51" s="16"/>
    </row>
    <row r="52" customFormat="false" ht="15" hidden="false" customHeight="false" outlineLevel="0" collapsed="false">
      <c r="A52" s="13" t="s">
        <v>180</v>
      </c>
      <c r="B52" s="14" t="s">
        <v>181</v>
      </c>
      <c r="D52" s="15" t="s">
        <v>105</v>
      </c>
      <c r="E52" s="16" t="s">
        <v>182</v>
      </c>
    </row>
    <row r="54" customFormat="false" ht="19.5" hidden="false" customHeight="true" outlineLevel="0" collapsed="false">
      <c r="A54" s="11" t="s">
        <v>183</v>
      </c>
      <c r="B54" s="11"/>
      <c r="C54" s="11"/>
      <c r="D54" s="11"/>
      <c r="E54" s="11"/>
      <c r="F54" s="12"/>
      <c r="G54" s="12"/>
    </row>
    <row r="55" customFormat="false" ht="15" hidden="false" customHeight="false" outlineLevel="0" collapsed="false">
      <c r="A55" s="13" t="s">
        <v>184</v>
      </c>
      <c r="B55" s="22" t="n">
        <v>24</v>
      </c>
      <c r="D55" s="15" t="s">
        <v>97</v>
      </c>
      <c r="E55" s="16" t="s">
        <v>185</v>
      </c>
    </row>
    <row r="56" customFormat="false" ht="15" hidden="false" customHeight="false" outlineLevel="0" collapsed="false">
      <c r="A56" s="13" t="s">
        <v>186</v>
      </c>
      <c r="B56" s="19" t="n">
        <v>0.35</v>
      </c>
      <c r="D56" s="15" t="s">
        <v>97</v>
      </c>
      <c r="E56" s="16" t="s">
        <v>187</v>
      </c>
    </row>
    <row r="57" customFormat="false" ht="15" hidden="false" customHeight="false" outlineLevel="0" collapsed="false">
      <c r="A57" s="13" t="s">
        <v>188</v>
      </c>
      <c r="B57" s="19" t="n">
        <v>0.65</v>
      </c>
      <c r="D57" s="15" t="s">
        <v>97</v>
      </c>
      <c r="E57" s="16" t="s">
        <v>189</v>
      </c>
    </row>
    <row r="58" customFormat="false" ht="15" hidden="false" customHeight="false" outlineLevel="0" collapsed="false">
      <c r="A58" s="13" t="s">
        <v>190</v>
      </c>
      <c r="B58" s="18" t="n">
        <v>22</v>
      </c>
      <c r="D58" s="15" t="s">
        <v>97</v>
      </c>
      <c r="E58" s="16"/>
    </row>
    <row r="59" customFormat="false" ht="15" hidden="false" customHeight="false" outlineLevel="0" collapsed="false">
      <c r="A59" s="13" t="s">
        <v>191</v>
      </c>
      <c r="B59" s="18" t="n">
        <v>8</v>
      </c>
      <c r="D59" s="15" t="s">
        <v>97</v>
      </c>
      <c r="E59" s="16"/>
    </row>
    <row r="60" customFormat="false" ht="15" hidden="false" customHeight="false" outlineLevel="0" collapsed="false">
      <c r="A60" s="13" t="s">
        <v>192</v>
      </c>
      <c r="B60" s="21" t="n">
        <f aca="false">A_INPUT!$B$58+A_INPUT!$B$59</f>
        <v>30</v>
      </c>
      <c r="D60" s="15" t="s">
        <v>119</v>
      </c>
      <c r="E60" s="16" t="s">
        <v>193</v>
      </c>
    </row>
    <row r="61" customFormat="false" ht="15" hidden="false" customHeight="false" outlineLevel="0" collapsed="false">
      <c r="A61" s="13" t="s">
        <v>194</v>
      </c>
      <c r="B61" s="14" t="s">
        <v>181</v>
      </c>
      <c r="D61" s="15" t="s">
        <v>105</v>
      </c>
      <c r="E61" s="16"/>
    </row>
    <row r="62" customFormat="false" ht="15" hidden="false" customHeight="false" outlineLevel="0" collapsed="false">
      <c r="A62" s="13" t="s">
        <v>195</v>
      </c>
      <c r="B62" s="22" t="n">
        <v>0</v>
      </c>
      <c r="D62" s="15" t="s">
        <v>97</v>
      </c>
      <c r="E62" s="16" t="s">
        <v>196</v>
      </c>
    </row>
    <row r="63" customFormat="false" ht="15" hidden="false" customHeight="false" outlineLevel="0" collapsed="false">
      <c r="A63" s="13" t="s">
        <v>197</v>
      </c>
      <c r="B63" s="22" t="n">
        <v>2</v>
      </c>
      <c r="D63" s="15" t="s">
        <v>97</v>
      </c>
      <c r="E63" s="16" t="s">
        <v>198</v>
      </c>
    </row>
    <row r="64" customFormat="false" ht="15" hidden="false" customHeight="false" outlineLevel="0" collapsed="false">
      <c r="A64" s="13" t="s">
        <v>199</v>
      </c>
      <c r="B64" s="18" t="n">
        <v>0</v>
      </c>
      <c r="D64" s="15" t="s">
        <v>97</v>
      </c>
      <c r="E64" s="16" t="s">
        <v>200</v>
      </c>
    </row>
    <row r="65" customFormat="false" ht="15" hidden="false" customHeight="false" outlineLevel="0" collapsed="false">
      <c r="A65" s="13" t="s">
        <v>201</v>
      </c>
      <c r="B65" s="19" t="n">
        <v>0</v>
      </c>
      <c r="D65" s="15" t="s">
        <v>97</v>
      </c>
      <c r="E65" s="16" t="s">
        <v>202</v>
      </c>
    </row>
    <row r="66" customFormat="false" ht="15" hidden="false" customHeight="false" outlineLevel="0" collapsed="false">
      <c r="A66" s="13" t="s">
        <v>203</v>
      </c>
      <c r="B66" s="19" t="n">
        <v>0</v>
      </c>
      <c r="D66" s="15" t="s">
        <v>97</v>
      </c>
      <c r="E66" s="16" t="s">
        <v>202</v>
      </c>
    </row>
    <row r="68" customFormat="false" ht="19.5" hidden="false" customHeight="true" outlineLevel="0" collapsed="false">
      <c r="A68" s="11" t="s">
        <v>204</v>
      </c>
      <c r="B68" s="11"/>
      <c r="C68" s="11"/>
      <c r="D68" s="11"/>
      <c r="E68" s="11"/>
      <c r="F68" s="12"/>
      <c r="G68" s="12"/>
    </row>
    <row r="69" customFormat="false" ht="15" hidden="false" customHeight="false" outlineLevel="0" collapsed="false">
      <c r="A69" s="13" t="s">
        <v>205</v>
      </c>
      <c r="B69" s="19" t="n">
        <v>0.25</v>
      </c>
      <c r="D69" s="15" t="s">
        <v>97</v>
      </c>
      <c r="E69" s="16"/>
    </row>
    <row r="70" customFormat="false" ht="15" hidden="false" customHeight="false" outlineLevel="0" collapsed="false">
      <c r="A70" s="13" t="s">
        <v>206</v>
      </c>
      <c r="B70" s="18" t="n">
        <v>25</v>
      </c>
      <c r="D70" s="15" t="s">
        <v>97</v>
      </c>
      <c r="E70" s="16" t="s">
        <v>207</v>
      </c>
    </row>
    <row r="71" customFormat="false" ht="15" hidden="false" customHeight="false" outlineLevel="0" collapsed="false">
      <c r="A71" s="13" t="s">
        <v>208</v>
      </c>
      <c r="B71" s="19" t="n">
        <v>0.45</v>
      </c>
      <c r="D71" s="15" t="s">
        <v>97</v>
      </c>
      <c r="E71" s="16"/>
    </row>
    <row r="72" customFormat="false" ht="15" hidden="false" customHeight="false" outlineLevel="0" collapsed="false">
      <c r="A72" s="13" t="s">
        <v>209</v>
      </c>
      <c r="B72" s="18" t="n">
        <v>0</v>
      </c>
      <c r="D72" s="15" t="s">
        <v>97</v>
      </c>
      <c r="E72" s="16" t="s">
        <v>210</v>
      </c>
    </row>
    <row r="73" customFormat="false" ht="15" hidden="false" customHeight="false" outlineLevel="0" collapsed="false">
      <c r="A73" s="13" t="s">
        <v>211</v>
      </c>
      <c r="B73" s="19" t="n">
        <v>0.7</v>
      </c>
      <c r="D73" s="15" t="s">
        <v>97</v>
      </c>
      <c r="E73" s="16"/>
    </row>
    <row r="75" customFormat="false" ht="19.5" hidden="false" customHeight="true" outlineLevel="0" collapsed="false">
      <c r="A75" s="11" t="s">
        <v>212</v>
      </c>
      <c r="B75" s="11"/>
      <c r="C75" s="11"/>
      <c r="D75" s="11"/>
      <c r="E75" s="11"/>
      <c r="F75" s="12"/>
      <c r="G75" s="12"/>
    </row>
    <row r="76" customFormat="false" ht="19.5" hidden="false" customHeight="true" outlineLevel="0" collapsed="false">
      <c r="A76" s="26" t="s">
        <v>213</v>
      </c>
      <c r="B76" s="26"/>
      <c r="C76" s="26"/>
      <c r="D76" s="26"/>
      <c r="E76" s="26"/>
      <c r="F76" s="27"/>
      <c r="G76" s="27"/>
    </row>
    <row r="77" customFormat="false" ht="15" hidden="false" customHeight="false" outlineLevel="0" collapsed="false">
      <c r="A77" s="13" t="s">
        <v>214</v>
      </c>
      <c r="B77" s="18" t="n">
        <v>25000</v>
      </c>
      <c r="D77" s="15" t="s">
        <v>97</v>
      </c>
      <c r="E77" s="16" t="s">
        <v>215</v>
      </c>
    </row>
    <row r="78" customFormat="false" ht="15" hidden="false" customHeight="false" outlineLevel="0" collapsed="false">
      <c r="A78" s="13" t="s">
        <v>216</v>
      </c>
      <c r="B78" s="19" t="n">
        <v>0.05</v>
      </c>
      <c r="D78" s="15" t="s">
        <v>97</v>
      </c>
      <c r="E78" s="16" t="s">
        <v>217</v>
      </c>
    </row>
    <row r="79" customFormat="false" ht="15" hidden="false" customHeight="false" outlineLevel="0" collapsed="false">
      <c r="A79" s="13" t="s">
        <v>218</v>
      </c>
      <c r="B79" s="18" t="n">
        <v>12000</v>
      </c>
      <c r="D79" s="15" t="s">
        <v>97</v>
      </c>
      <c r="E79" s="16" t="s">
        <v>219</v>
      </c>
    </row>
    <row r="80" customFormat="false" ht="15" hidden="false" customHeight="false" outlineLevel="0" collapsed="false">
      <c r="A80" s="13" t="s">
        <v>220</v>
      </c>
      <c r="B80" s="18" t="n">
        <v>1200</v>
      </c>
      <c r="D80" s="15" t="s">
        <v>97</v>
      </c>
      <c r="E80" s="16" t="s">
        <v>221</v>
      </c>
    </row>
    <row r="81" customFormat="false" ht="15" hidden="false" customHeight="false" outlineLevel="0" collapsed="false">
      <c r="A81" s="13" t="s">
        <v>222</v>
      </c>
      <c r="B81" s="18" t="n">
        <v>3000</v>
      </c>
      <c r="D81" s="15" t="s">
        <v>97</v>
      </c>
      <c r="E81" s="16"/>
    </row>
    <row r="82" customFormat="false" ht="15" hidden="false" customHeight="false" outlineLevel="0" collapsed="false">
      <c r="A82" s="13" t="s">
        <v>223</v>
      </c>
      <c r="B82" s="23" t="n">
        <f aca="false">F_SERVICE!$B$14</f>
        <v>583.333333333333</v>
      </c>
      <c r="D82" s="15" t="s">
        <v>224</v>
      </c>
      <c r="E82" s="16" t="s">
        <v>225</v>
      </c>
    </row>
    <row r="83" customFormat="false" ht="15" hidden="false" customHeight="false" outlineLevel="0" collapsed="false">
      <c r="A83" s="13" t="s">
        <v>226</v>
      </c>
      <c r="B83" s="23" t="n">
        <f aca="false">F_SERVICE!$B$29</f>
        <v>0</v>
      </c>
      <c r="D83" s="15" t="s">
        <v>224</v>
      </c>
      <c r="E83" s="16" t="s">
        <v>227</v>
      </c>
    </row>
    <row r="84" customFormat="false" ht="15" hidden="false" customHeight="false" outlineLevel="0" collapsed="false">
      <c r="A84" s="13" t="s">
        <v>228</v>
      </c>
      <c r="B84" s="18" t="n">
        <v>3000</v>
      </c>
      <c r="D84" s="15" t="s">
        <v>97</v>
      </c>
      <c r="E84" s="16" t="s">
        <v>229</v>
      </c>
    </row>
    <row r="85" customFormat="false" ht="15" hidden="false" customHeight="false" outlineLevel="0" collapsed="false">
      <c r="A85" s="13" t="s">
        <v>230</v>
      </c>
      <c r="B85" s="18" t="n">
        <v>800</v>
      </c>
      <c r="D85" s="15" t="s">
        <v>97</v>
      </c>
      <c r="E85" s="16" t="s">
        <v>231</v>
      </c>
    </row>
    <row r="86" customFormat="false" ht="15" hidden="false" customHeight="false" outlineLevel="0" collapsed="false">
      <c r="A86" s="13" t="s">
        <v>232</v>
      </c>
      <c r="B86" s="18" t="n">
        <v>0</v>
      </c>
      <c r="D86" s="15" t="s">
        <v>97</v>
      </c>
      <c r="E86" s="16"/>
    </row>
    <row r="87" customFormat="false" ht="15" hidden="false" customHeight="false" outlineLevel="0" collapsed="false">
      <c r="A87" s="24" t="s">
        <v>233</v>
      </c>
      <c r="B87" s="28" t="n">
        <f aca="false">SUM(A_INPUT!$B$77,A_INPUT!$B$79,A_INPUT!$B$80,A_INPUT!$B$81,A_INPUT!$B$82,A_INPUT!$B$83,A_INPUT!$B$84,A_INPUT!$B$85,A_INPUT!$B$86)</f>
        <v>45583.3333333333</v>
      </c>
      <c r="D87" s="15" t="s">
        <v>119</v>
      </c>
      <c r="E87" s="16" t="s">
        <v>234</v>
      </c>
    </row>
    <row r="88" customFormat="false" ht="19.5" hidden="false" customHeight="true" outlineLevel="0" collapsed="false">
      <c r="A88" s="26" t="s">
        <v>235</v>
      </c>
      <c r="B88" s="26"/>
      <c r="C88" s="26"/>
      <c r="D88" s="26"/>
      <c r="E88" s="26"/>
      <c r="F88" s="27"/>
      <c r="G88" s="27"/>
    </row>
    <row r="89" customFormat="false" ht="20.85" hidden="false" customHeight="false" outlineLevel="0" collapsed="false">
      <c r="A89" s="13" t="s">
        <v>236</v>
      </c>
      <c r="B89" s="14" t="s">
        <v>237</v>
      </c>
      <c r="D89" s="15" t="s">
        <v>105</v>
      </c>
      <c r="E89" s="16" t="s">
        <v>238</v>
      </c>
    </row>
    <row r="90" customFormat="false" ht="15" hidden="false" customHeight="false" outlineLevel="0" collapsed="false">
      <c r="A90" s="13" t="s">
        <v>239</v>
      </c>
      <c r="B90" s="19" t="n">
        <v>0.12</v>
      </c>
      <c r="D90" s="15" t="s">
        <v>240</v>
      </c>
      <c r="E90" s="16" t="s">
        <v>241</v>
      </c>
    </row>
    <row r="91" customFormat="false" ht="15" hidden="false" customHeight="false" outlineLevel="0" collapsed="false">
      <c r="A91" s="13" t="s">
        <v>242</v>
      </c>
      <c r="B91" s="19" t="n">
        <v>0.02</v>
      </c>
      <c r="D91" s="15" t="s">
        <v>240</v>
      </c>
      <c r="E91" s="16" t="s">
        <v>243</v>
      </c>
    </row>
    <row r="92" customFormat="false" ht="15" hidden="false" customHeight="false" outlineLevel="0" collapsed="false">
      <c r="A92" s="13" t="s">
        <v>244</v>
      </c>
      <c r="B92" s="29" t="n">
        <v>4.8</v>
      </c>
      <c r="D92" s="15" t="s">
        <v>245</v>
      </c>
      <c r="E92" s="16" t="s">
        <v>246</v>
      </c>
    </row>
    <row r="93" customFormat="false" ht="15" hidden="false" customHeight="false" outlineLevel="0" collapsed="false">
      <c r="A93" s="13" t="s">
        <v>247</v>
      </c>
      <c r="B93" s="29" t="n">
        <v>18</v>
      </c>
      <c r="D93" s="15" t="s">
        <v>245</v>
      </c>
      <c r="E93" s="16" t="s">
        <v>248</v>
      </c>
    </row>
    <row r="94" customFormat="false" ht="15" hidden="false" customHeight="false" outlineLevel="0" collapsed="false">
      <c r="A94" s="13" t="s">
        <v>249</v>
      </c>
      <c r="B94" s="29" t="n">
        <v>25</v>
      </c>
      <c r="D94" s="15" t="s">
        <v>97</v>
      </c>
      <c r="E94" s="16" t="s">
        <v>250</v>
      </c>
    </row>
    <row r="95" customFormat="false" ht="15" hidden="false" customHeight="false" outlineLevel="0" collapsed="false">
      <c r="A95" s="13" t="s">
        <v>251</v>
      </c>
      <c r="B95" s="18" t="n">
        <v>3500</v>
      </c>
      <c r="D95" s="15" t="s">
        <v>97</v>
      </c>
      <c r="E95" s="16" t="s">
        <v>252</v>
      </c>
    </row>
    <row r="96" customFormat="false" ht="15" hidden="false" customHeight="false" outlineLevel="0" collapsed="false">
      <c r="A96" s="13" t="s">
        <v>253</v>
      </c>
      <c r="B96" s="29" t="n">
        <v>2.5</v>
      </c>
      <c r="D96" s="15" t="s">
        <v>97</v>
      </c>
      <c r="E96" s="16" t="s">
        <v>254</v>
      </c>
    </row>
    <row r="97" customFormat="false" ht="15" hidden="false" customHeight="false" outlineLevel="0" collapsed="false">
      <c r="A97" s="13" t="s">
        <v>255</v>
      </c>
      <c r="B97" s="14" t="s">
        <v>256</v>
      </c>
      <c r="D97" s="15" t="s">
        <v>105</v>
      </c>
      <c r="E97" s="16" t="s">
        <v>257</v>
      </c>
    </row>
    <row r="98" customFormat="false" ht="15" hidden="false" customHeight="false" outlineLevel="0" collapsed="false">
      <c r="A98" s="13" t="s">
        <v>258</v>
      </c>
      <c r="B98" s="19" t="n">
        <v>0.03</v>
      </c>
      <c r="D98" s="15" t="s">
        <v>97</v>
      </c>
      <c r="E98" s="16" t="s">
        <v>259</v>
      </c>
    </row>
    <row r="99" customFormat="false" ht="15" hidden="false" customHeight="false" outlineLevel="0" collapsed="false">
      <c r="A99" s="13" t="s">
        <v>260</v>
      </c>
      <c r="B99" s="19" t="n">
        <v>0.6</v>
      </c>
      <c r="D99" s="15" t="s">
        <v>97</v>
      </c>
      <c r="E99" s="16" t="s">
        <v>261</v>
      </c>
    </row>
    <row r="100" customFormat="false" ht="15" hidden="false" customHeight="false" outlineLevel="0" collapsed="false">
      <c r="A100" s="13" t="s">
        <v>262</v>
      </c>
      <c r="B100" s="19" t="n">
        <v>0.01</v>
      </c>
      <c r="D100" s="15" t="s">
        <v>97</v>
      </c>
      <c r="E100" s="16" t="s">
        <v>263</v>
      </c>
    </row>
    <row r="101" customFormat="false" ht="15" hidden="false" customHeight="false" outlineLevel="0" collapsed="false">
      <c r="A101" s="13" t="s">
        <v>264</v>
      </c>
      <c r="B101" s="19" t="n">
        <v>0</v>
      </c>
      <c r="D101" s="15" t="s">
        <v>97</v>
      </c>
      <c r="E101" s="16" t="s">
        <v>265</v>
      </c>
    </row>
    <row r="103" customFormat="false" ht="19.5" hidden="false" customHeight="true" outlineLevel="0" collapsed="false">
      <c r="A103" s="11" t="s">
        <v>266</v>
      </c>
      <c r="B103" s="11"/>
      <c r="C103" s="11"/>
      <c r="D103" s="11"/>
      <c r="E103" s="11"/>
      <c r="F103" s="12"/>
      <c r="G103" s="12"/>
    </row>
    <row r="104" customFormat="false" ht="15" hidden="false" customHeight="false" outlineLevel="0" collapsed="false">
      <c r="A104" s="13" t="s">
        <v>267</v>
      </c>
      <c r="B104" s="19" t="n">
        <v>0</v>
      </c>
      <c r="D104" s="15" t="s">
        <v>97</v>
      </c>
      <c r="E104" s="16" t="s">
        <v>268</v>
      </c>
    </row>
    <row r="105" customFormat="false" ht="15" hidden="false" customHeight="false" outlineLevel="0" collapsed="false">
      <c r="A105" s="13" t="s">
        <v>269</v>
      </c>
      <c r="B105" s="19" t="n">
        <v>0.075</v>
      </c>
      <c r="D105" s="15" t="s">
        <v>97</v>
      </c>
      <c r="E105" s="16" t="s">
        <v>270</v>
      </c>
    </row>
    <row r="106" customFormat="false" ht="15" hidden="false" customHeight="false" outlineLevel="0" collapsed="false">
      <c r="A106" s="13" t="s">
        <v>271</v>
      </c>
      <c r="B106" s="18" t="n">
        <v>5</v>
      </c>
      <c r="D106" s="15" t="s">
        <v>97</v>
      </c>
      <c r="E106" s="16" t="s">
        <v>272</v>
      </c>
    </row>
    <row r="107" customFormat="false" ht="15" hidden="false" customHeight="false" outlineLevel="0" collapsed="false">
      <c r="A107" s="13" t="s">
        <v>273</v>
      </c>
      <c r="B107" s="18" t="n">
        <v>8</v>
      </c>
      <c r="D107" s="15" t="s">
        <v>97</v>
      </c>
      <c r="E107" s="16" t="s">
        <v>274</v>
      </c>
    </row>
    <row r="108" customFormat="false" ht="15" hidden="false" customHeight="false" outlineLevel="0" collapsed="false">
      <c r="A108" s="13" t="s">
        <v>275</v>
      </c>
      <c r="B108" s="18" t="n">
        <v>5</v>
      </c>
      <c r="D108" s="15" t="s">
        <v>97</v>
      </c>
      <c r="E108" s="16" t="s">
        <v>276</v>
      </c>
    </row>
    <row r="109" customFormat="false" ht="15" hidden="false" customHeight="false" outlineLevel="0" collapsed="false">
      <c r="A109" s="13" t="s">
        <v>277</v>
      </c>
      <c r="B109" s="19" t="n">
        <v>0.2</v>
      </c>
      <c r="D109" s="15" t="s">
        <v>97</v>
      </c>
      <c r="E109" s="16" t="s">
        <v>278</v>
      </c>
    </row>
    <row r="110" customFormat="false" ht="15" hidden="false" customHeight="false" outlineLevel="0" collapsed="false">
      <c r="A110" s="13" t="s">
        <v>279</v>
      </c>
      <c r="B110" s="19" t="n">
        <v>0.1</v>
      </c>
      <c r="D110" s="15" t="s">
        <v>97</v>
      </c>
      <c r="E110" s="16" t="s">
        <v>280</v>
      </c>
    </row>
    <row r="111" customFormat="false" ht="15" hidden="false" customHeight="false" outlineLevel="0" collapsed="false">
      <c r="A111" s="13" t="s">
        <v>281</v>
      </c>
      <c r="B111" s="19" t="n">
        <v>0.05</v>
      </c>
      <c r="D111" s="15" t="s">
        <v>97</v>
      </c>
      <c r="E111" s="16" t="s">
        <v>282</v>
      </c>
    </row>
    <row r="112" customFormat="false" ht="15" hidden="false" customHeight="false" outlineLevel="0" collapsed="false">
      <c r="A112" s="13" t="s">
        <v>283</v>
      </c>
      <c r="B112" s="18" t="n">
        <v>5</v>
      </c>
      <c r="D112" s="15" t="s">
        <v>97</v>
      </c>
      <c r="E112" s="16" t="s">
        <v>284</v>
      </c>
    </row>
  </sheetData>
  <mergeCells count="12">
    <mergeCell ref="A1:E1"/>
    <mergeCell ref="A2:E2"/>
    <mergeCell ref="A4:E4"/>
    <mergeCell ref="A12:E12"/>
    <mergeCell ref="A24:E24"/>
    <mergeCell ref="A42:E42"/>
    <mergeCell ref="A54:E54"/>
    <mergeCell ref="A68:E68"/>
    <mergeCell ref="A75:E75"/>
    <mergeCell ref="A76:E76"/>
    <mergeCell ref="A88:E88"/>
    <mergeCell ref="A103:E103"/>
  </mergeCells>
  <dataValidations count="9">
    <dataValidation allowBlank="true" errorStyle="stop" operator="between" showDropDown="false" showErrorMessage="false" showInputMessage="false" sqref="B25" type="list">
      <formula1>Z_LISTS!$A$2:$A$5</formula1>
      <formula2>0</formula2>
    </dataValidation>
    <dataValidation allowBlank="true" errorStyle="stop" operator="between" showDropDown="false" showErrorMessage="false" showInputMessage="false" sqref="B26" type="list">
      <formula1>Z_LISTS!$B$2:$B$3</formula1>
      <formula2>0</formula2>
    </dataValidation>
    <dataValidation allowBlank="true" errorStyle="stop" operator="between" showDropDown="false" showErrorMessage="false" showInputMessage="false" sqref="B89" type="list">
      <formula1>Z_LISTS!$C$2:$C$3</formula1>
      <formula2>0</formula2>
    </dataValidation>
    <dataValidation allowBlank="true" errorStyle="stop" operator="between" showDropDown="false" showErrorMessage="false" showInputMessage="false" sqref="B52 B61" type="list">
      <formula1>Z_LISTS!$D$2:$D$3</formula1>
      <formula2>0</formula2>
    </dataValidation>
    <dataValidation allowBlank="true" errorStyle="stop" operator="between" showDropDown="false" showErrorMessage="false" showInputMessage="false" sqref="B14" type="list">
      <formula1>Z_LISTS!$F$2:$F$8</formula1>
      <formula2>0</formula2>
    </dataValidation>
    <dataValidation allowBlank="true" errorStyle="stop" operator="between" showDropDown="false" showErrorMessage="false" showInputMessage="false" sqref="B51" type="list">
      <formula1>Z_LISTS!$G$2:$G$3</formula1>
      <formula2>0</formula2>
    </dataValidation>
    <dataValidation allowBlank="true" errorStyle="stop" operator="between" showDropDown="false" showErrorMessage="false" showInputMessage="false" sqref="B9" type="list">
      <formula1>Z_LISTS!$H$2:$H$5</formula1>
      <formula2>0</formula2>
    </dataValidation>
    <dataValidation allowBlank="true" errorStyle="stop" operator="between" showDropDown="false" showErrorMessage="false" showInputMessage="false" sqref="B8" type="list">
      <formula1>Z_LISTS!$I$2:$I$6</formula1>
      <formula2>0</formula2>
    </dataValidation>
    <dataValidation allowBlank="true" errorStyle="stop" operator="between" showDropDown="false" showErrorMessage="false" showInputMessage="false" sqref="B97" type="list">
      <formula1>Z_LISTS!$E$2:$E$3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H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7" min="4" style="0" width="16"/>
    <col collapsed="false" customWidth="true" hidden="false" outlineLevel="0" max="8" min="8" style="0" width="46"/>
  </cols>
  <sheetData>
    <row r="1" customFormat="false" ht="25.5" hidden="false" customHeight="true" outlineLevel="0" collapsed="false">
      <c r="A1" s="30" t="s">
        <v>285</v>
      </c>
      <c r="B1" s="30"/>
      <c r="C1" s="30"/>
      <c r="D1" s="30"/>
      <c r="E1" s="30"/>
      <c r="F1" s="30"/>
      <c r="G1" s="30"/>
      <c r="H1" s="30"/>
    </row>
    <row r="2" customFormat="false" ht="15" hidden="false" customHeight="false" outlineLevel="0" collapsed="false">
      <c r="A2" s="31" t="s">
        <v>286</v>
      </c>
    </row>
    <row r="4" customFormat="false" ht="19.5" hidden="false" customHeight="true" outlineLevel="0" collapsed="false">
      <c r="A4" s="11" t="s">
        <v>287</v>
      </c>
      <c r="B4" s="11"/>
      <c r="C4" s="11"/>
      <c r="D4" s="11"/>
      <c r="E4" s="11"/>
      <c r="F4" s="11"/>
      <c r="G4" s="11"/>
      <c r="H4" s="11"/>
    </row>
    <row r="5" customFormat="false" ht="30" hidden="false" customHeight="true" outlineLevel="0" collapsed="false">
      <c r="A5" s="32" t="s">
        <v>288</v>
      </c>
      <c r="B5" s="32" t="s">
        <v>289</v>
      </c>
      <c r="C5" s="32" t="s">
        <v>290</v>
      </c>
      <c r="D5" s="32" t="s">
        <v>291</v>
      </c>
      <c r="E5" s="32" t="s">
        <v>292</v>
      </c>
      <c r="F5" s="32" t="s">
        <v>293</v>
      </c>
      <c r="G5" s="32" t="s">
        <v>294</v>
      </c>
      <c r="H5" s="32" t="s">
        <v>295</v>
      </c>
    </row>
    <row r="6" customFormat="false" ht="15" hidden="false" customHeight="false" outlineLevel="0" collapsed="false">
      <c r="A6" s="24" t="s">
        <v>296</v>
      </c>
      <c r="B6" s="33" t="s">
        <v>297</v>
      </c>
      <c r="C6" s="18" t="n">
        <v>18</v>
      </c>
      <c r="D6" s="18" t="n">
        <v>36</v>
      </c>
      <c r="E6" s="34" t="n">
        <v>0.55</v>
      </c>
      <c r="F6" s="18" t="n">
        <v>110</v>
      </c>
      <c r="G6" s="34" t="n">
        <v>0</v>
      </c>
      <c r="H6" s="18" t="n">
        <v>30000</v>
      </c>
    </row>
    <row r="7" customFormat="false" ht="15" hidden="false" customHeight="false" outlineLevel="0" collapsed="false">
      <c r="A7" s="24" t="s">
        <v>298</v>
      </c>
      <c r="B7" s="33" t="s">
        <v>299</v>
      </c>
      <c r="C7" s="18" t="n">
        <v>14</v>
      </c>
      <c r="D7" s="18" t="n">
        <v>45</v>
      </c>
      <c r="E7" s="34" t="n">
        <v>0.35</v>
      </c>
      <c r="F7" s="18" t="n">
        <v>0</v>
      </c>
      <c r="G7" s="34" t="n">
        <v>0.55</v>
      </c>
      <c r="H7" s="18" t="n">
        <v>30000</v>
      </c>
    </row>
    <row r="8" customFormat="false" ht="15" hidden="false" customHeight="false" outlineLevel="0" collapsed="false">
      <c r="A8" s="31" t="s">
        <v>300</v>
      </c>
    </row>
    <row r="10" customFormat="false" ht="19.5" hidden="false" customHeight="true" outlineLevel="0" collapsed="false">
      <c r="A10" s="11" t="s">
        <v>301</v>
      </c>
      <c r="B10" s="11"/>
      <c r="C10" s="11"/>
      <c r="D10" s="11"/>
      <c r="E10" s="11"/>
      <c r="F10" s="11"/>
      <c r="G10" s="11"/>
    </row>
    <row r="11" customFormat="false" ht="15" hidden="false" customHeight="false" outlineLevel="0" collapsed="false">
      <c r="A11" s="35" t="s">
        <v>302</v>
      </c>
    </row>
    <row r="12" customFormat="false" ht="30" hidden="false" customHeight="true" outlineLevel="0" collapsed="false">
      <c r="A12" s="32" t="s">
        <v>303</v>
      </c>
      <c r="B12" s="32" t="s">
        <v>304</v>
      </c>
      <c r="C12" s="32" t="s">
        <v>305</v>
      </c>
      <c r="D12" s="32" t="s">
        <v>306</v>
      </c>
      <c r="E12" s="32" t="s">
        <v>307</v>
      </c>
      <c r="F12" s="32" t="s">
        <v>134</v>
      </c>
      <c r="G12" s="32" t="s">
        <v>308</v>
      </c>
    </row>
    <row r="13" customFormat="false" ht="20.85" hidden="false" customHeight="false" outlineLevel="0" collapsed="false">
      <c r="A13" s="13" t="s">
        <v>309</v>
      </c>
      <c r="B13" s="36" t="s">
        <v>310</v>
      </c>
      <c r="C13" s="37" t="s">
        <v>311</v>
      </c>
      <c r="D13" s="38" t="n">
        <v>3</v>
      </c>
      <c r="E13" s="38" t="n">
        <v>4</v>
      </c>
      <c r="F13" s="38" t="n">
        <v>5</v>
      </c>
      <c r="G13" s="38" t="n">
        <v>4</v>
      </c>
    </row>
    <row r="14" customFormat="false" ht="15" hidden="false" customHeight="false" outlineLevel="0" collapsed="false">
      <c r="A14" s="13" t="s">
        <v>312</v>
      </c>
      <c r="B14" s="36" t="s">
        <v>141</v>
      </c>
      <c r="C14" s="37"/>
      <c r="D14" s="21" t="n">
        <f aca="false">D13</f>
        <v>3</v>
      </c>
      <c r="E14" s="21" t="n">
        <f aca="false">E13</f>
        <v>4</v>
      </c>
      <c r="F14" s="21" t="n">
        <f aca="false">F13</f>
        <v>5</v>
      </c>
      <c r="G14" s="21" t="n">
        <f aca="false">G13</f>
        <v>4</v>
      </c>
    </row>
    <row r="15" customFormat="false" ht="15" hidden="false" customHeight="false" outlineLevel="0" collapsed="false">
      <c r="A15" s="13" t="s">
        <v>313</v>
      </c>
      <c r="B15" s="36" t="s">
        <v>141</v>
      </c>
      <c r="C15" s="37"/>
      <c r="D15" s="21" t="n">
        <f aca="false">D13</f>
        <v>3</v>
      </c>
      <c r="E15" s="21" t="n">
        <f aca="false">E13</f>
        <v>4</v>
      </c>
      <c r="F15" s="21" t="n">
        <f aca="false">F13</f>
        <v>5</v>
      </c>
      <c r="G15" s="21" t="n">
        <f aca="false">G13</f>
        <v>4</v>
      </c>
    </row>
    <row r="16" customFormat="false" ht="20.85" hidden="false" customHeight="false" outlineLevel="0" collapsed="false">
      <c r="A16" s="24" t="s">
        <v>314</v>
      </c>
      <c r="B16" s="36" t="s">
        <v>141</v>
      </c>
      <c r="C16" s="37" t="s">
        <v>315</v>
      </c>
      <c r="D16" s="25" t="n">
        <f aca="false">D14+D15</f>
        <v>6</v>
      </c>
      <c r="E16" s="25" t="n">
        <f aca="false">E14+E15</f>
        <v>8</v>
      </c>
      <c r="F16" s="25" t="n">
        <f aca="false">F14+F15</f>
        <v>10</v>
      </c>
      <c r="G16" s="25" t="n">
        <f aca="false">G14+G15</f>
        <v>8</v>
      </c>
    </row>
    <row r="17" customFormat="false" ht="49.95" hidden="false" customHeight="false" outlineLevel="0" collapsed="false">
      <c r="A17" s="39" t="s">
        <v>163</v>
      </c>
      <c r="B17" s="40" t="s">
        <v>316</v>
      </c>
      <c r="C17" s="41" t="s">
        <v>317</v>
      </c>
      <c r="D17" s="18" t="n">
        <v>699000</v>
      </c>
      <c r="E17" s="18" t="n">
        <v>799000</v>
      </c>
      <c r="F17" s="18" t="n">
        <v>899000</v>
      </c>
      <c r="G17" s="18" t="n">
        <v>799000</v>
      </c>
    </row>
    <row r="18" customFormat="false" ht="20.85" hidden="false" customHeight="false" outlineLevel="0" collapsed="false">
      <c r="A18" s="13" t="s">
        <v>318</v>
      </c>
      <c r="B18" s="36" t="s">
        <v>319</v>
      </c>
      <c r="C18" s="37" t="s">
        <v>53</v>
      </c>
      <c r="D18" s="38" t="n">
        <v>1</v>
      </c>
      <c r="E18" s="38" t="n">
        <v>2</v>
      </c>
      <c r="F18" s="38" t="n">
        <v>2</v>
      </c>
      <c r="G18" s="38" t="n">
        <v>2</v>
      </c>
    </row>
    <row r="19" customFormat="false" ht="15" hidden="false" customHeight="false" outlineLevel="0" collapsed="false">
      <c r="A19" s="13" t="s">
        <v>320</v>
      </c>
      <c r="B19" s="36" t="s">
        <v>272</v>
      </c>
      <c r="C19" s="37" t="s">
        <v>321</v>
      </c>
      <c r="D19" s="38" t="n">
        <v>3</v>
      </c>
      <c r="E19" s="38" t="n">
        <v>3</v>
      </c>
      <c r="F19" s="38" t="n">
        <v>3</v>
      </c>
      <c r="G19" s="38" t="n">
        <v>3</v>
      </c>
    </row>
    <row r="20" customFormat="false" ht="15" hidden="false" customHeight="false" outlineLevel="0" collapsed="false">
      <c r="A20" s="13" t="s">
        <v>322</v>
      </c>
      <c r="B20" s="36" t="s">
        <v>272</v>
      </c>
      <c r="C20" s="37" t="s">
        <v>323</v>
      </c>
      <c r="D20" s="38" t="n">
        <v>1</v>
      </c>
      <c r="E20" s="38" t="n">
        <v>1</v>
      </c>
      <c r="F20" s="38" t="n">
        <v>1</v>
      </c>
      <c r="G20" s="38" t="n">
        <v>1</v>
      </c>
    </row>
    <row r="21" customFormat="false" ht="19.4" hidden="false" customHeight="false" outlineLevel="0" collapsed="false">
      <c r="A21" s="13" t="s">
        <v>324</v>
      </c>
      <c r="B21" s="36" t="s">
        <v>325</v>
      </c>
      <c r="C21" s="37" t="s">
        <v>326</v>
      </c>
      <c r="D21" s="38" t="n">
        <v>30</v>
      </c>
      <c r="E21" s="38" t="n">
        <v>35</v>
      </c>
      <c r="F21" s="38" t="n">
        <v>45</v>
      </c>
      <c r="G21" s="38" t="n">
        <v>35</v>
      </c>
    </row>
    <row r="22" customFormat="false" ht="15" hidden="false" customHeight="false" outlineLevel="0" collapsed="false">
      <c r="A22" s="13" t="s">
        <v>327</v>
      </c>
      <c r="B22" s="36" t="s">
        <v>328</v>
      </c>
      <c r="C22" s="37"/>
      <c r="D22" s="38" t="n">
        <v>2500</v>
      </c>
      <c r="E22" s="38" t="n">
        <v>3500</v>
      </c>
      <c r="F22" s="38" t="n">
        <v>4500</v>
      </c>
      <c r="G22" s="38" t="n">
        <v>3500</v>
      </c>
    </row>
    <row r="24" customFormat="false" ht="19.5" hidden="false" customHeight="true" outlineLevel="0" collapsed="false">
      <c r="A24" s="11" t="s">
        <v>329</v>
      </c>
      <c r="B24" s="11"/>
      <c r="C24" s="11"/>
      <c r="D24" s="11"/>
      <c r="E24" s="11"/>
      <c r="F24" s="11"/>
      <c r="G24" s="11"/>
    </row>
    <row r="25" customFormat="false" ht="15" hidden="false" customHeight="false" outlineLevel="0" collapsed="false">
      <c r="A25" s="13" t="s">
        <v>330</v>
      </c>
      <c r="B25" s="36" t="s">
        <v>316</v>
      </c>
      <c r="C25" s="37" t="s">
        <v>331</v>
      </c>
      <c r="D25" s="38" t="n">
        <v>60000</v>
      </c>
      <c r="E25" s="38" t="n">
        <v>70000</v>
      </c>
      <c r="F25" s="38" t="n">
        <v>80000</v>
      </c>
      <c r="G25" s="38" t="n">
        <v>70000</v>
      </c>
    </row>
    <row r="26" customFormat="false" ht="15" hidden="false" customHeight="false" outlineLevel="0" collapsed="false">
      <c r="A26" s="13" t="s">
        <v>332</v>
      </c>
      <c r="B26" s="36" t="s">
        <v>316</v>
      </c>
      <c r="C26" s="37" t="s">
        <v>331</v>
      </c>
      <c r="D26" s="38" t="n">
        <v>15000</v>
      </c>
      <c r="E26" s="38" t="n">
        <v>18000</v>
      </c>
      <c r="F26" s="38" t="n">
        <v>20000</v>
      </c>
      <c r="G26" s="38" t="n">
        <v>18000</v>
      </c>
    </row>
    <row r="27" customFormat="false" ht="15" hidden="false" customHeight="false" outlineLevel="0" collapsed="false">
      <c r="A27" s="13" t="s">
        <v>333</v>
      </c>
      <c r="B27" s="36" t="s">
        <v>316</v>
      </c>
      <c r="C27" s="37" t="s">
        <v>331</v>
      </c>
      <c r="D27" s="38" t="n">
        <v>25000</v>
      </c>
      <c r="E27" s="38" t="n">
        <v>30000</v>
      </c>
      <c r="F27" s="38" t="n">
        <v>35000</v>
      </c>
      <c r="G27" s="38" t="n">
        <v>30000</v>
      </c>
    </row>
    <row r="28" customFormat="false" ht="15" hidden="false" customHeight="false" outlineLevel="0" collapsed="false">
      <c r="A28" s="13" t="s">
        <v>334</v>
      </c>
      <c r="B28" s="36" t="s">
        <v>316</v>
      </c>
      <c r="C28" s="37" t="s">
        <v>331</v>
      </c>
      <c r="D28" s="38" t="n">
        <v>40000</v>
      </c>
      <c r="E28" s="38" t="n">
        <v>50000</v>
      </c>
      <c r="F28" s="38" t="n">
        <v>60000</v>
      </c>
      <c r="G28" s="38" t="n">
        <v>50000</v>
      </c>
    </row>
    <row r="29" customFormat="false" ht="15" hidden="false" customHeight="false" outlineLevel="0" collapsed="false">
      <c r="A29" s="13" t="s">
        <v>335</v>
      </c>
      <c r="B29" s="36" t="s">
        <v>316</v>
      </c>
      <c r="C29" s="37" t="s">
        <v>336</v>
      </c>
      <c r="D29" s="38" t="n">
        <v>8000</v>
      </c>
      <c r="E29" s="38" t="n">
        <v>8000</v>
      </c>
      <c r="F29" s="38" t="n">
        <v>8000</v>
      </c>
      <c r="G29" s="38" t="n">
        <v>8000</v>
      </c>
    </row>
    <row r="30" customFormat="false" ht="15" hidden="false" customHeight="false" outlineLevel="0" collapsed="false">
      <c r="A30" s="13" t="s">
        <v>337</v>
      </c>
      <c r="B30" s="36" t="s">
        <v>316</v>
      </c>
      <c r="C30" s="37" t="s">
        <v>338</v>
      </c>
      <c r="D30" s="38" t="n">
        <v>5000</v>
      </c>
      <c r="E30" s="38" t="n">
        <v>5000</v>
      </c>
      <c r="F30" s="38" t="n">
        <v>5000</v>
      </c>
      <c r="G30" s="38" t="n">
        <v>5000</v>
      </c>
    </row>
    <row r="31" customFormat="false" ht="15" hidden="false" customHeight="false" outlineLevel="0" collapsed="false">
      <c r="A31" s="13" t="s">
        <v>339</v>
      </c>
      <c r="B31" s="36" t="s">
        <v>316</v>
      </c>
      <c r="C31" s="37"/>
      <c r="D31" s="38" t="n">
        <v>10000</v>
      </c>
      <c r="E31" s="38" t="n">
        <v>12000</v>
      </c>
      <c r="F31" s="38" t="n">
        <v>15000</v>
      </c>
      <c r="G31" s="38" t="n">
        <v>12000</v>
      </c>
    </row>
    <row r="32" customFormat="false" ht="20.85" hidden="false" customHeight="false" outlineLevel="0" collapsed="false">
      <c r="A32" s="13" t="s">
        <v>340</v>
      </c>
      <c r="B32" s="36" t="s">
        <v>316</v>
      </c>
      <c r="C32" s="37" t="s">
        <v>341</v>
      </c>
      <c r="D32" s="38" t="n">
        <v>0</v>
      </c>
      <c r="E32" s="38" t="n">
        <v>0</v>
      </c>
      <c r="F32" s="38" t="n">
        <v>0</v>
      </c>
      <c r="G32" s="38" t="n">
        <v>0</v>
      </c>
    </row>
    <row r="33" customFormat="false" ht="15" hidden="false" customHeight="false" outlineLevel="0" collapsed="false">
      <c r="A33" s="13" t="s">
        <v>342</v>
      </c>
      <c r="B33" s="36" t="s">
        <v>316</v>
      </c>
      <c r="C33" s="37" t="s">
        <v>343</v>
      </c>
      <c r="D33" s="38" t="n">
        <v>15000</v>
      </c>
      <c r="E33" s="38" t="n">
        <v>15000</v>
      </c>
      <c r="F33" s="38" t="n">
        <v>15000</v>
      </c>
      <c r="G33" s="38" t="n">
        <v>15000</v>
      </c>
    </row>
    <row r="34" customFormat="false" ht="15" hidden="false" customHeight="false" outlineLevel="0" collapsed="false">
      <c r="A34" s="39" t="s">
        <v>344</v>
      </c>
      <c r="B34" s="40" t="s">
        <v>316</v>
      </c>
      <c r="C34" s="41"/>
      <c r="D34" s="28" t="n">
        <f aca="false">SUM(D25:D33)</f>
        <v>178000</v>
      </c>
      <c r="E34" s="28" t="n">
        <f aca="false">SUM(E25:E33)</f>
        <v>208000</v>
      </c>
      <c r="F34" s="28" t="n">
        <f aca="false">SUM(F25:F33)</f>
        <v>238000</v>
      </c>
      <c r="G34" s="28" t="n">
        <f aca="false">SUM(G25:G33)</f>
        <v>208000</v>
      </c>
    </row>
    <row r="36" customFormat="false" ht="19.5" hidden="false" customHeight="true" outlineLevel="0" collapsed="false">
      <c r="A36" s="11" t="s">
        <v>345</v>
      </c>
      <c r="B36" s="11"/>
      <c r="C36" s="11"/>
      <c r="D36" s="11"/>
      <c r="E36" s="11"/>
      <c r="F36" s="11"/>
      <c r="G36" s="11"/>
      <c r="H36" s="11"/>
    </row>
    <row r="37" customFormat="false" ht="30" hidden="false" customHeight="true" outlineLevel="0" collapsed="false">
      <c r="A37" s="32" t="s">
        <v>346</v>
      </c>
      <c r="B37" s="32" t="s">
        <v>347</v>
      </c>
      <c r="C37" s="32" t="s">
        <v>348</v>
      </c>
      <c r="D37" s="32" t="s">
        <v>349</v>
      </c>
      <c r="E37" s="32"/>
      <c r="F37" s="32"/>
      <c r="G37" s="32"/>
      <c r="H37" s="32" t="s">
        <v>350</v>
      </c>
    </row>
    <row r="38" customFormat="false" ht="15" hidden="false" customHeight="false" outlineLevel="0" collapsed="false">
      <c r="A38" s="42" t="s">
        <v>351</v>
      </c>
      <c r="B38" s="43" t="n">
        <v>13000</v>
      </c>
      <c r="C38" s="44" t="n">
        <v>0</v>
      </c>
      <c r="D38" s="45" t="n">
        <f aca="false">B38*C38</f>
        <v>0</v>
      </c>
      <c r="E38" s="42"/>
      <c r="F38" s="42"/>
      <c r="G38" s="42"/>
      <c r="H38" s="37" t="s">
        <v>352</v>
      </c>
    </row>
    <row r="39" customFormat="false" ht="15" hidden="false" customHeight="false" outlineLevel="0" collapsed="false">
      <c r="A39" s="42" t="s">
        <v>353</v>
      </c>
      <c r="B39" s="43" t="n">
        <v>15000</v>
      </c>
      <c r="C39" s="44" t="n">
        <v>0</v>
      </c>
      <c r="D39" s="45" t="n">
        <f aca="false">B39*C39</f>
        <v>0</v>
      </c>
      <c r="E39" s="42"/>
      <c r="F39" s="42"/>
      <c r="G39" s="42"/>
      <c r="H39" s="37" t="s">
        <v>354</v>
      </c>
    </row>
    <row r="40" customFormat="false" ht="15" hidden="false" customHeight="false" outlineLevel="0" collapsed="false">
      <c r="A40" s="42" t="s">
        <v>355</v>
      </c>
      <c r="B40" s="43" t="n">
        <v>15500</v>
      </c>
      <c r="C40" s="44" t="n">
        <v>0</v>
      </c>
      <c r="D40" s="45" t="n">
        <f aca="false">B40*C40</f>
        <v>0</v>
      </c>
      <c r="E40" s="42"/>
      <c r="F40" s="42"/>
      <c r="G40" s="42"/>
      <c r="H40" s="37" t="s">
        <v>356</v>
      </c>
    </row>
    <row r="41" customFormat="false" ht="15" hidden="false" customHeight="false" outlineLevel="0" collapsed="false">
      <c r="A41" s="42" t="s">
        <v>357</v>
      </c>
      <c r="B41" s="43" t="n">
        <v>17500</v>
      </c>
      <c r="C41" s="44" t="n">
        <v>0</v>
      </c>
      <c r="D41" s="45" t="n">
        <f aca="false">B41*C41</f>
        <v>0</v>
      </c>
      <c r="E41" s="42"/>
      <c r="F41" s="42"/>
      <c r="G41" s="42"/>
      <c r="H41" s="37" t="s">
        <v>356</v>
      </c>
    </row>
    <row r="42" customFormat="false" ht="15" hidden="false" customHeight="false" outlineLevel="0" collapsed="false">
      <c r="A42" s="42" t="s">
        <v>358</v>
      </c>
      <c r="B42" s="43" t="n">
        <v>4990</v>
      </c>
      <c r="C42" s="44" t="n">
        <v>0</v>
      </c>
      <c r="D42" s="45" t="n">
        <f aca="false">B42*C42</f>
        <v>0</v>
      </c>
      <c r="E42" s="42"/>
      <c r="F42" s="42"/>
      <c r="G42" s="42"/>
      <c r="H42" s="37" t="s">
        <v>359</v>
      </c>
    </row>
    <row r="43" customFormat="false" ht="15" hidden="false" customHeight="false" outlineLevel="0" collapsed="false">
      <c r="A43" s="42" t="s">
        <v>360</v>
      </c>
      <c r="B43" s="43" t="n">
        <v>5690</v>
      </c>
      <c r="C43" s="44" t="n">
        <v>0</v>
      </c>
      <c r="D43" s="45" t="n">
        <f aca="false">B43*C43</f>
        <v>0</v>
      </c>
      <c r="E43" s="42"/>
      <c r="F43" s="42"/>
      <c r="G43" s="42"/>
      <c r="H43" s="37" t="s">
        <v>361</v>
      </c>
    </row>
    <row r="44" customFormat="false" ht="15" hidden="false" customHeight="false" outlineLevel="0" collapsed="false">
      <c r="A44" s="42" t="s">
        <v>362</v>
      </c>
      <c r="B44" s="43" t="n">
        <v>16990</v>
      </c>
      <c r="C44" s="44" t="n">
        <v>0</v>
      </c>
      <c r="D44" s="45" t="n">
        <f aca="false">B44*C44</f>
        <v>0</v>
      </c>
      <c r="E44" s="42"/>
      <c r="F44" s="42"/>
      <c r="G44" s="42"/>
      <c r="H44" s="37" t="s">
        <v>363</v>
      </c>
    </row>
    <row r="45" customFormat="false" ht="15" hidden="false" customHeight="false" outlineLevel="0" collapsed="false">
      <c r="A45" s="42" t="s">
        <v>364</v>
      </c>
      <c r="B45" s="43" t="n">
        <v>42990</v>
      </c>
      <c r="C45" s="44" t="n">
        <v>0</v>
      </c>
      <c r="D45" s="45" t="n">
        <f aca="false">B45*C45</f>
        <v>0</v>
      </c>
      <c r="E45" s="42"/>
      <c r="F45" s="42"/>
      <c r="G45" s="42"/>
      <c r="H45" s="37" t="s">
        <v>365</v>
      </c>
    </row>
    <row r="46" customFormat="false" ht="15" hidden="false" customHeight="false" outlineLevel="0" collapsed="false">
      <c r="A46" s="42" t="s">
        <v>366</v>
      </c>
      <c r="B46" s="43" t="n">
        <v>49000</v>
      </c>
      <c r="C46" s="44" t="n">
        <v>0</v>
      </c>
      <c r="D46" s="45" t="n">
        <f aca="false">B46*C46</f>
        <v>0</v>
      </c>
      <c r="E46" s="42"/>
      <c r="F46" s="42"/>
      <c r="G46" s="42"/>
      <c r="H46" s="37" t="s">
        <v>365</v>
      </c>
    </row>
    <row r="47" customFormat="false" ht="15" hidden="false" customHeight="false" outlineLevel="0" collapsed="false">
      <c r="A47" s="42" t="s">
        <v>367</v>
      </c>
      <c r="B47" s="43" t="n">
        <v>29990</v>
      </c>
      <c r="C47" s="44" t="n">
        <v>0</v>
      </c>
      <c r="D47" s="45" t="n">
        <f aca="false">B47*C47</f>
        <v>0</v>
      </c>
      <c r="E47" s="42"/>
      <c r="F47" s="42"/>
      <c r="G47" s="42"/>
      <c r="H47" s="37" t="s">
        <v>368</v>
      </c>
    </row>
    <row r="48" customFormat="false" ht="15" hidden="false" customHeight="false" outlineLevel="0" collapsed="false">
      <c r="A48" s="42" t="s">
        <v>369</v>
      </c>
      <c r="B48" s="43" t="n">
        <v>36990</v>
      </c>
      <c r="C48" s="44" t="n">
        <v>0</v>
      </c>
      <c r="D48" s="45" t="n">
        <f aca="false">B48*C48</f>
        <v>0</v>
      </c>
      <c r="E48" s="42"/>
      <c r="F48" s="42"/>
      <c r="G48" s="42"/>
      <c r="H48" s="37" t="s">
        <v>370</v>
      </c>
    </row>
    <row r="49" customFormat="false" ht="15" hidden="false" customHeight="false" outlineLevel="0" collapsed="false">
      <c r="A49" s="39" t="s">
        <v>371</v>
      </c>
      <c r="B49" s="46"/>
      <c r="C49" s="46"/>
      <c r="D49" s="28" t="n">
        <f aca="false">SUM(D38:D48)</f>
        <v>0</v>
      </c>
      <c r="E49" s="46"/>
      <c r="F49" s="46"/>
      <c r="G49" s="46"/>
      <c r="H49" s="47" t="s">
        <v>372</v>
      </c>
    </row>
    <row r="51" customFormat="false" ht="19.5" hidden="false" customHeight="true" outlineLevel="0" collapsed="false">
      <c r="A51" s="11" t="s">
        <v>373</v>
      </c>
      <c r="B51" s="11"/>
      <c r="C51" s="11"/>
      <c r="D51" s="11"/>
      <c r="E51" s="11"/>
      <c r="F51" s="11"/>
      <c r="G51" s="11"/>
      <c r="H51" s="11"/>
    </row>
    <row r="52" customFormat="false" ht="15.75" hidden="false" customHeight="true" outlineLevel="0" collapsed="false">
      <c r="A52" s="24" t="s">
        <v>374</v>
      </c>
      <c r="B52" s="48" t="s">
        <v>375</v>
      </c>
      <c r="C52" s="48"/>
      <c r="D52" s="48"/>
      <c r="E52" s="48"/>
      <c r="F52" s="48"/>
      <c r="G52" s="48"/>
      <c r="H52" s="48"/>
    </row>
    <row r="53" customFormat="false" ht="15.75" hidden="false" customHeight="true" outlineLevel="0" collapsed="false">
      <c r="A53" s="24" t="s">
        <v>376</v>
      </c>
      <c r="B53" s="48" t="s">
        <v>377</v>
      </c>
      <c r="C53" s="48"/>
      <c r="D53" s="48"/>
      <c r="E53" s="48"/>
      <c r="F53" s="48"/>
      <c r="G53" s="48"/>
      <c r="H53" s="48"/>
    </row>
    <row r="54" customFormat="false" ht="25.5" hidden="false" customHeight="true" outlineLevel="0" collapsed="false">
      <c r="A54" s="24" t="s">
        <v>378</v>
      </c>
      <c r="B54" s="48" t="s">
        <v>379</v>
      </c>
      <c r="C54" s="48"/>
      <c r="D54" s="48"/>
      <c r="E54" s="48"/>
      <c r="F54" s="48"/>
      <c r="G54" s="48"/>
      <c r="H54" s="48"/>
    </row>
    <row r="55" customFormat="false" ht="25.5" hidden="false" customHeight="true" outlineLevel="0" collapsed="false">
      <c r="A55" s="24" t="s">
        <v>380</v>
      </c>
      <c r="B55" s="48" t="s">
        <v>381</v>
      </c>
      <c r="C55" s="48"/>
      <c r="D55" s="48"/>
      <c r="E55" s="48"/>
      <c r="F55" s="48"/>
      <c r="G55" s="48"/>
      <c r="H55" s="48"/>
    </row>
    <row r="56" customFormat="false" ht="15.75" hidden="false" customHeight="true" outlineLevel="0" collapsed="false">
      <c r="A56" s="24" t="s">
        <v>382</v>
      </c>
      <c r="B56" s="48" t="s">
        <v>383</v>
      </c>
      <c r="C56" s="48"/>
      <c r="D56" s="48"/>
      <c r="E56" s="48"/>
      <c r="F56" s="48"/>
      <c r="G56" s="48"/>
      <c r="H56" s="48"/>
    </row>
    <row r="57" customFormat="false" ht="25.5" hidden="false" customHeight="true" outlineLevel="0" collapsed="false">
      <c r="A57" s="24" t="s">
        <v>384</v>
      </c>
      <c r="B57" s="48" t="s">
        <v>385</v>
      </c>
      <c r="C57" s="48"/>
      <c r="D57" s="48"/>
      <c r="E57" s="48"/>
      <c r="F57" s="48"/>
      <c r="G57" s="48"/>
      <c r="H57" s="48"/>
    </row>
    <row r="58" customFormat="false" ht="25.5" hidden="false" customHeight="true" outlineLevel="0" collapsed="false">
      <c r="A58" s="24" t="s">
        <v>386</v>
      </c>
      <c r="B58" s="48" t="s">
        <v>387</v>
      </c>
      <c r="C58" s="48"/>
      <c r="D58" s="48"/>
      <c r="E58" s="48"/>
      <c r="F58" s="48"/>
      <c r="G58" s="48"/>
      <c r="H58" s="48"/>
    </row>
    <row r="59" customFormat="false" ht="15.75" hidden="false" customHeight="true" outlineLevel="0" collapsed="false">
      <c r="A59" s="24" t="s">
        <v>50</v>
      </c>
      <c r="B59" s="48" t="s">
        <v>388</v>
      </c>
      <c r="C59" s="48"/>
      <c r="D59" s="48"/>
      <c r="E59" s="48"/>
      <c r="F59" s="48"/>
      <c r="G59" s="48"/>
      <c r="H59" s="48"/>
    </row>
  </sheetData>
  <mergeCells count="14">
    <mergeCell ref="A1:H1"/>
    <mergeCell ref="A4:H4"/>
    <mergeCell ref="A10:G10"/>
    <mergeCell ref="A24:G24"/>
    <mergeCell ref="A36:H36"/>
    <mergeCell ref="A51:H51"/>
    <mergeCell ref="B52:H52"/>
    <mergeCell ref="B53:H53"/>
    <mergeCell ref="B54:H54"/>
    <mergeCell ref="B55:H55"/>
    <mergeCell ref="B56:H56"/>
    <mergeCell ref="B57:H57"/>
    <mergeCell ref="B58:H58"/>
    <mergeCell ref="B59:H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G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58"/>
  </cols>
  <sheetData>
    <row r="1" customFormat="false" ht="25.5" hidden="false" customHeight="true" outlineLevel="0" collapsed="false">
      <c r="A1" s="30" t="s">
        <v>389</v>
      </c>
      <c r="B1" s="30"/>
      <c r="C1" s="30"/>
      <c r="D1" s="30"/>
      <c r="E1" s="30"/>
    </row>
    <row r="3" customFormat="false" ht="19.5" hidden="false" customHeight="true" outlineLevel="0" collapsed="false">
      <c r="A3" s="11" t="s">
        <v>390</v>
      </c>
      <c r="B3" s="11"/>
      <c r="C3" s="11"/>
      <c r="D3" s="11"/>
      <c r="E3" s="11"/>
      <c r="F3" s="12"/>
      <c r="G3" s="12"/>
    </row>
    <row r="4" customFormat="false" ht="15" hidden="false" customHeight="false" outlineLevel="0" collapsed="false">
      <c r="A4" s="13" t="s">
        <v>145</v>
      </c>
      <c r="B4" s="23" t="n">
        <f aca="false">A_INPUT!$B$31</f>
        <v>5</v>
      </c>
      <c r="D4" s="15" t="s">
        <v>391</v>
      </c>
      <c r="E4" s="16" t="s">
        <v>141</v>
      </c>
    </row>
    <row r="5" customFormat="false" ht="15" hidden="false" customHeight="false" outlineLevel="0" collapsed="false">
      <c r="A5" s="13" t="s">
        <v>146</v>
      </c>
      <c r="B5" s="23" t="n">
        <f aca="false">A_INPUT!$B$32</f>
        <v>5</v>
      </c>
      <c r="D5" s="15" t="s">
        <v>391</v>
      </c>
      <c r="E5" s="16" t="s">
        <v>141</v>
      </c>
    </row>
    <row r="6" customFormat="false" ht="15" hidden="false" customHeight="false" outlineLevel="0" collapsed="false">
      <c r="A6" s="24" t="s">
        <v>392</v>
      </c>
      <c r="B6" s="49" t="n">
        <f aca="false">A_INPUT!$B$33</f>
        <v>10</v>
      </c>
      <c r="D6" s="15" t="s">
        <v>391</v>
      </c>
      <c r="E6" s="16" t="s">
        <v>141</v>
      </c>
    </row>
    <row r="7" customFormat="false" ht="15" hidden="false" customHeight="false" outlineLevel="0" collapsed="false">
      <c r="A7" s="13" t="s">
        <v>393</v>
      </c>
      <c r="B7" s="50" t="n">
        <f aca="false">IF(A_INPUT!$B$37&gt;0,A_INPUT!$B$37,B_PACKAGES!$D$6)</f>
        <v>36</v>
      </c>
      <c r="D7" s="15" t="s">
        <v>156</v>
      </c>
      <c r="E7" s="16"/>
    </row>
    <row r="8" customFormat="false" ht="15" hidden="false" customHeight="false" outlineLevel="0" collapsed="false">
      <c r="A8" s="13" t="s">
        <v>394</v>
      </c>
      <c r="B8" s="50" t="n">
        <f aca="false">IF(A_INPUT!$B$38&gt;0,A_INPUT!$B$38,B_PACKAGES!$D$7)</f>
        <v>45</v>
      </c>
      <c r="D8" s="15" t="s">
        <v>156</v>
      </c>
      <c r="E8" s="16"/>
    </row>
    <row r="9" customFormat="false" ht="15" hidden="false" customHeight="false" outlineLevel="0" collapsed="false">
      <c r="A9" s="13" t="s">
        <v>395</v>
      </c>
      <c r="B9" s="50" t="n">
        <f aca="false">IFERROR(A_INPUT!$B$55*60/(C_CALC!$B$7+A_INPUT!$B$40),0)</f>
        <v>34.2857142857143</v>
      </c>
      <c r="D9" s="15" t="s">
        <v>396</v>
      </c>
      <c r="E9" s="16" t="s">
        <v>397</v>
      </c>
    </row>
    <row r="10" customFormat="false" ht="15" hidden="false" customHeight="false" outlineLevel="0" collapsed="false">
      <c r="A10" s="13" t="s">
        <v>398</v>
      </c>
      <c r="B10" s="50" t="n">
        <f aca="false">IFERROR(A_INPUT!$B$55*60/(C_CALC!$B$8+A_INPUT!$B$40),0)</f>
        <v>28.2352941176471</v>
      </c>
      <c r="D10" s="15" t="s">
        <v>396</v>
      </c>
      <c r="E10" s="16" t="s">
        <v>399</v>
      </c>
    </row>
    <row r="11" customFormat="false" ht="15" hidden="false" customHeight="false" outlineLevel="0" collapsed="false">
      <c r="A11" s="13" t="s">
        <v>400</v>
      </c>
      <c r="B11" s="50" t="n">
        <f aca="false">IFERROR(A_INPUT!$B$55*60/(A_INPUT!$B$39+A_INPUT!$B$40),0)</f>
        <v>16.551724137931</v>
      </c>
      <c r="D11" s="15" t="s">
        <v>396</v>
      </c>
      <c r="E11" s="16"/>
    </row>
    <row r="12" customFormat="false" ht="15" hidden="false" customHeight="false" outlineLevel="0" collapsed="false">
      <c r="A12" s="13" t="s">
        <v>401</v>
      </c>
      <c r="B12" s="50" t="n">
        <f aca="false">A_INPUT!$B$58*A_INPUT!$B$56+A_INPUT!$B$59*A_INPUT!$B$57</f>
        <v>12.9</v>
      </c>
      <c r="D12" s="15" t="s">
        <v>402</v>
      </c>
      <c r="E12" s="16" t="s">
        <v>403</v>
      </c>
    </row>
    <row r="13" customFormat="false" ht="15" hidden="false" customHeight="false" outlineLevel="0" collapsed="false">
      <c r="A13" s="13" t="s">
        <v>404</v>
      </c>
      <c r="B13" s="21" t="n">
        <f aca="false">C_CALC!$B$4*C_CALC!$B$9*C_CALC!$B$12</f>
        <v>2211.42857142857</v>
      </c>
      <c r="D13" s="15" t="s">
        <v>130</v>
      </c>
      <c r="E13" s="16"/>
    </row>
    <row r="14" customFormat="false" ht="15" hidden="false" customHeight="false" outlineLevel="0" collapsed="false">
      <c r="A14" s="13" t="s">
        <v>405</v>
      </c>
      <c r="B14" s="21" t="n">
        <f aca="false">C_CALC!$B$5*C_CALC!$B$10*C_CALC!$B$12</f>
        <v>1821.17647058824</v>
      </c>
      <c r="D14" s="15" t="s">
        <v>130</v>
      </c>
      <c r="E14" s="16"/>
    </row>
    <row r="15" customFormat="false" ht="15" hidden="false" customHeight="false" outlineLevel="0" collapsed="false">
      <c r="A15" s="13" t="s">
        <v>406</v>
      </c>
      <c r="B15" s="21" t="n">
        <f aca="false">C_CALC!$B$4*C_CALC!$B$11*C_CALC!$B$12</f>
        <v>1067.58620689655</v>
      </c>
      <c r="D15" s="15" t="s">
        <v>130</v>
      </c>
      <c r="E15" s="16" t="s">
        <v>407</v>
      </c>
    </row>
    <row r="16" customFormat="false" ht="15" hidden="false" customHeight="false" outlineLevel="0" collapsed="false">
      <c r="A16" s="24" t="s">
        <v>408</v>
      </c>
      <c r="B16" s="25" t="n">
        <f aca="false">IF(LEFT(A_INPUT!$B$26,1)="A",C_CALC!$B$15,C_CALC!$B$13+C_CALC!$B$14)</f>
        <v>4032.60504201681</v>
      </c>
      <c r="D16" s="15" t="s">
        <v>130</v>
      </c>
      <c r="E16" s="16"/>
    </row>
    <row r="17" customFormat="false" ht="15" hidden="false" customHeight="false" outlineLevel="0" collapsed="false">
      <c r="A17" s="13" t="s">
        <v>409</v>
      </c>
      <c r="B17" s="21" t="n">
        <f aca="false">IF(LEFT(A_INPUT!$B$26,1)="A",C_CALC!$B$4*C_CALC!$B$11*A_INPUT!$B$60,(C_CALC!$B$4*C_CALC!$B$9+C_CALC!$B$5*C_CALC!$B$10)*A_INPUT!$B$60)</f>
        <v>9378.1512605042</v>
      </c>
      <c r="D17" s="15" t="s">
        <v>130</v>
      </c>
      <c r="E17" s="16" t="s">
        <v>410</v>
      </c>
    </row>
    <row r="19" customFormat="false" ht="19.5" hidden="false" customHeight="true" outlineLevel="0" collapsed="false">
      <c r="A19" s="11" t="s">
        <v>411</v>
      </c>
      <c r="B19" s="11"/>
      <c r="C19" s="11"/>
      <c r="D19" s="11"/>
      <c r="E19" s="11"/>
      <c r="F19" s="12"/>
      <c r="G19" s="12"/>
    </row>
    <row r="20" customFormat="false" ht="15" hidden="false" customHeight="false" outlineLevel="0" collapsed="false">
      <c r="A20" s="13" t="s">
        <v>412</v>
      </c>
      <c r="B20" s="51" t="n">
        <f aca="false">A_INPUT!$B$34</f>
        <v>50</v>
      </c>
      <c r="D20" s="15" t="s">
        <v>316</v>
      </c>
      <c r="E20" s="16"/>
    </row>
    <row r="21" customFormat="false" ht="15" hidden="false" customHeight="false" outlineLevel="0" collapsed="false">
      <c r="A21" s="13" t="s">
        <v>413</v>
      </c>
      <c r="B21" s="51" t="n">
        <f aca="false">A_INPUT!$B$35</f>
        <v>50</v>
      </c>
      <c r="D21" s="15" t="s">
        <v>316</v>
      </c>
      <c r="E21" s="16"/>
    </row>
    <row r="22" customFormat="false" ht="15" hidden="false" customHeight="false" outlineLevel="0" collapsed="false">
      <c r="A22" s="13" t="s">
        <v>414</v>
      </c>
      <c r="B22" s="51" t="n">
        <f aca="false">A_INPUT!$B$36</f>
        <v>100</v>
      </c>
      <c r="D22" s="15" t="s">
        <v>316</v>
      </c>
      <c r="E22" s="16"/>
    </row>
    <row r="24" customFormat="false" ht="19.5" hidden="false" customHeight="true" outlineLevel="0" collapsed="false">
      <c r="A24" s="11" t="s">
        <v>415</v>
      </c>
      <c r="B24" s="11"/>
      <c r="C24" s="11"/>
      <c r="D24" s="11"/>
      <c r="E24" s="11"/>
      <c r="F24" s="12"/>
      <c r="G24" s="12"/>
    </row>
    <row r="25" customFormat="false" ht="15" hidden="false" customHeight="false" outlineLevel="0" collapsed="false">
      <c r="A25" s="13" t="s">
        <v>416</v>
      </c>
      <c r="B25" s="21" t="n">
        <f aca="false">IF(LEFT(A_INPUT!$B$61,1)="Y",A_INPUT!$B$62*A_INPUT!$B$60,0)</f>
        <v>0</v>
      </c>
      <c r="D25" s="15" t="s">
        <v>130</v>
      </c>
      <c r="E25" s="16"/>
    </row>
    <row r="26" customFormat="false" ht="15" hidden="false" customHeight="false" outlineLevel="0" collapsed="false">
      <c r="A26" s="13" t="s">
        <v>417</v>
      </c>
      <c r="B26" s="21" t="n">
        <f aca="false">IF(LEFT(A_INPUT!$B$61,1)="Y",A_INPUT!$B$62*A_INPUT!$B$60*MAX(A_INPUT!$B$63-1,0),0)</f>
        <v>0</v>
      </c>
      <c r="D26" s="15" t="s">
        <v>130</v>
      </c>
      <c r="E26" s="16"/>
    </row>
    <row r="27" customFormat="false" ht="15" hidden="false" customHeight="false" outlineLevel="0" collapsed="false">
      <c r="A27" s="24" t="s">
        <v>418</v>
      </c>
      <c r="B27" s="25" t="n">
        <f aca="false">IF(LEFT(A_INPUT!$B$26,1)="A",A_INPUT!$B$21+C_CALC!$B$25,A_INPUT!$B$21+A_INPUT!$B$22+C_CALC!$B$25+C_CALC!$B$26)</f>
        <v>4134.375</v>
      </c>
      <c r="D27" s="15" t="s">
        <v>130</v>
      </c>
      <c r="E27" s="16"/>
    </row>
    <row r="28" customFormat="false" ht="15" hidden="false" customHeight="false" outlineLevel="0" collapsed="false">
      <c r="A28" s="24" t="s">
        <v>419</v>
      </c>
      <c r="B28" s="52" t="n">
        <f aca="false">IFERROR(C_CALC!$B$27/C_CALC!$B$16,0)</f>
        <v>1.02523677794449</v>
      </c>
      <c r="D28" s="15" t="s">
        <v>420</v>
      </c>
      <c r="E28" s="16" t="s">
        <v>421</v>
      </c>
    </row>
    <row r="29" customFormat="false" ht="15" hidden="false" customHeight="false" outlineLevel="0" collapsed="false">
      <c r="A29" s="13" t="s">
        <v>422</v>
      </c>
      <c r="B29" s="20" t="n">
        <f aca="false">IFERROR(MIN(1,C_CALC!$B$16/C_CALC!$B$27),1)</f>
        <v>0.975384439490082</v>
      </c>
      <c r="D29" s="15" t="s">
        <v>420</v>
      </c>
      <c r="E29" s="16" t="s">
        <v>423</v>
      </c>
    </row>
    <row r="30" customFormat="false" ht="15" hidden="false" customHeight="false" outlineLevel="0" collapsed="false">
      <c r="A30" s="13" t="s">
        <v>424</v>
      </c>
      <c r="B30" s="21" t="n">
        <f aca="false">A_INPUT!$B$21*C_CALC!$B$29</f>
        <v>2304.34573829532</v>
      </c>
      <c r="D30" s="15" t="s">
        <v>130</v>
      </c>
      <c r="E30" s="16"/>
    </row>
    <row r="31" customFormat="false" ht="15" hidden="false" customHeight="false" outlineLevel="0" collapsed="false">
      <c r="A31" s="13" t="s">
        <v>425</v>
      </c>
      <c r="B31" s="21" t="n">
        <f aca="false">IF(LEFT(A_INPUT!$B$26,1)="A",0,A_INPUT!$B$22*C_CALC!$B$29)</f>
        <v>1728.25930372149</v>
      </c>
      <c r="D31" s="15" t="s">
        <v>130</v>
      </c>
      <c r="E31" s="16"/>
    </row>
    <row r="32" customFormat="false" ht="15" hidden="false" customHeight="false" outlineLevel="0" collapsed="false">
      <c r="A32" s="24" t="s">
        <v>426</v>
      </c>
      <c r="B32" s="25" t="n">
        <f aca="false">C_CALC!$B$30+C_CALC!$B$31+(C_CALC!$B$25+C_CALC!$B$26)*C_CALC!$B$29</f>
        <v>4032.60504201681</v>
      </c>
      <c r="D32" s="15" t="s">
        <v>130</v>
      </c>
      <c r="E32" s="16"/>
    </row>
    <row r="33" customFormat="false" ht="15" hidden="false" customHeight="false" outlineLevel="0" collapsed="false">
      <c r="A33" s="13" t="s">
        <v>427</v>
      </c>
      <c r="B33" s="21" t="n">
        <f aca="false">C_CALC!$B$30+C_CALC!$B$25*C_CALC!$B$29</f>
        <v>2304.34573829532</v>
      </c>
      <c r="D33" s="15" t="s">
        <v>130</v>
      </c>
      <c r="E33" s="16" t="s">
        <v>428</v>
      </c>
    </row>
    <row r="34" customFormat="false" ht="15" hidden="false" customHeight="false" outlineLevel="0" collapsed="false">
      <c r="A34" s="13" t="s">
        <v>429</v>
      </c>
      <c r="B34" s="21" t="n">
        <f aca="false">IF(LEFT(A_INPUT!$B$26,1)="A",C_CALC!$B$30+C_CALC!$B$25*C_CALC!$B$29,C_CALC!$B$31+C_CALC!$B$26*C_CALC!$B$29)</f>
        <v>1728.25930372149</v>
      </c>
      <c r="D34" s="15" t="s">
        <v>130</v>
      </c>
      <c r="E34" s="16" t="s">
        <v>430</v>
      </c>
    </row>
    <row r="35" customFormat="false" ht="15" hidden="false" customHeight="false" outlineLevel="0" collapsed="false">
      <c r="A35" s="13" t="s">
        <v>431</v>
      </c>
      <c r="B35" s="50" t="n">
        <f aca="false">IFERROR(C_CALC!$B$32/A_INPUT!$B$60,0)</f>
        <v>134.420168067227</v>
      </c>
      <c r="D35" s="15" t="s">
        <v>432</v>
      </c>
      <c r="E35" s="16"/>
    </row>
    <row r="37" customFormat="false" ht="19.5" hidden="false" customHeight="true" outlineLevel="0" collapsed="false">
      <c r="A37" s="11" t="s">
        <v>433</v>
      </c>
      <c r="B37" s="11"/>
      <c r="C37" s="11"/>
      <c r="D37" s="11"/>
      <c r="E37" s="11"/>
      <c r="F37" s="12"/>
      <c r="G37" s="12"/>
    </row>
    <row r="38" customFormat="false" ht="15" hidden="false" customHeight="false" outlineLevel="0" collapsed="false">
      <c r="A38" s="13" t="s">
        <v>434</v>
      </c>
      <c r="B38" s="21" t="n">
        <f aca="false">IF(LEFT(A_INPUT!$B$26,1)="A",C_CALC!$B$30*C_CALC!$B$22,C_CALC!$B$30*C_CALC!$B$20)</f>
        <v>115217.286914766</v>
      </c>
      <c r="D38" s="15" t="s">
        <v>316</v>
      </c>
      <c r="E38" s="16"/>
    </row>
    <row r="39" customFormat="false" ht="15" hidden="false" customHeight="false" outlineLevel="0" collapsed="false">
      <c r="A39" s="13" t="s">
        <v>435</v>
      </c>
      <c r="B39" s="21" t="n">
        <f aca="false">C_CALC!$B$31*C_CALC!$B$21</f>
        <v>86412.9651860744</v>
      </c>
      <c r="D39" s="15" t="s">
        <v>316</v>
      </c>
      <c r="E39" s="16"/>
    </row>
    <row r="40" customFormat="false" ht="15" hidden="false" customHeight="false" outlineLevel="0" collapsed="false">
      <c r="A40" s="13" t="s">
        <v>436</v>
      </c>
      <c r="B40" s="21" t="n">
        <f aca="false">IF(LEFT(A_INPUT!$B$61,1)="Y",A_INPUT!$B$62*A_INPUT!$B$60*A_INPUT!$B$64*C_CALC!$B$29,0)</f>
        <v>0</v>
      </c>
      <c r="D40" s="15" t="s">
        <v>316</v>
      </c>
      <c r="E40" s="16"/>
    </row>
    <row r="41" customFormat="false" ht="15" hidden="false" customHeight="false" outlineLevel="0" collapsed="false">
      <c r="A41" s="13" t="s">
        <v>437</v>
      </c>
      <c r="B41" s="21" t="n">
        <f aca="false">A_INPUT!$B$17*A_INPUT!$B$69*A_INPUT!$B$70*C_CALC!$B$29</f>
        <v>4000.60024009604</v>
      </c>
      <c r="D41" s="15" t="s">
        <v>316</v>
      </c>
      <c r="E41" s="16"/>
    </row>
    <row r="42" customFormat="false" ht="15" hidden="false" customHeight="false" outlineLevel="0" collapsed="false">
      <c r="A42" s="13" t="s">
        <v>438</v>
      </c>
      <c r="B42" s="21" t="n">
        <f aca="false">A_INPUT!$B$72</f>
        <v>0</v>
      </c>
      <c r="D42" s="15" t="s">
        <v>316</v>
      </c>
      <c r="E42" s="16"/>
    </row>
    <row r="43" customFormat="false" ht="15" hidden="false" customHeight="false" outlineLevel="0" collapsed="false">
      <c r="A43" s="24" t="s">
        <v>439</v>
      </c>
      <c r="B43" s="28" t="n">
        <f aca="false">SUM(C_CALC!$B$38,C_CALC!$B$39,C_CALC!$B$40,C_CALC!$B$41,C_CALC!$B$42)</f>
        <v>205630.852340936</v>
      </c>
      <c r="D43" s="15" t="s">
        <v>215</v>
      </c>
      <c r="E43" s="16"/>
    </row>
    <row r="44" customFormat="false" ht="15" hidden="false" customHeight="false" outlineLevel="0" collapsed="false">
      <c r="A44" s="13" t="s">
        <v>440</v>
      </c>
      <c r="B44" s="51" t="n">
        <f aca="false">IFERROR((C_CALC!$B$38+C_CALC!$B$39)/C_CALC!$B$6/A_INPUT!$B$60,0)</f>
        <v>672.100840336134</v>
      </c>
      <c r="D44" s="15" t="s">
        <v>316</v>
      </c>
      <c r="E44" s="16" t="s">
        <v>441</v>
      </c>
    </row>
    <row r="45" customFormat="false" ht="15" hidden="false" customHeight="false" outlineLevel="0" collapsed="false">
      <c r="A45" s="13" t="s">
        <v>442</v>
      </c>
      <c r="B45" s="51" t="n">
        <f aca="false">IFERROR((C_CALC!$B$38+C_CALC!$B$39+C_CALC!$B$40)/C_CALC!$B$32,0)</f>
        <v>50</v>
      </c>
      <c r="D45" s="15" t="s">
        <v>316</v>
      </c>
      <c r="E45" s="16"/>
    </row>
    <row r="47" customFormat="false" ht="19.5" hidden="false" customHeight="true" outlineLevel="0" collapsed="false">
      <c r="A47" s="11" t="s">
        <v>443</v>
      </c>
      <c r="B47" s="11"/>
      <c r="C47" s="11"/>
      <c r="D47" s="11"/>
      <c r="E47" s="11"/>
      <c r="F47" s="12"/>
      <c r="G47" s="12"/>
    </row>
    <row r="48" customFormat="false" ht="15" hidden="false" customHeight="false" outlineLevel="0" collapsed="false">
      <c r="A48" s="13" t="s">
        <v>444</v>
      </c>
      <c r="B48" s="21" t="n">
        <f aca="false">IF(LEFT(A_INPUT!$B$89,1)="1",(A_INPUT!$B$90+A_INPUT!$B$91)*C_CALC!$B$43,C_CALC!$B$33*(B_PACKAGES!$E$6*A_INPUT!$B$92+B_PACKAGES!$F$6/1000*A_INPUT!$B$93)+C_CALC!$B$34*B_PACKAGES!$E$7*A_INPUT!$B$92)+A_INPUT!$B$95</f>
        <v>17049.5529411765</v>
      </c>
      <c r="D48" s="15" t="s">
        <v>316</v>
      </c>
      <c r="E48" s="16" t="s">
        <v>445</v>
      </c>
    </row>
    <row r="49" customFormat="false" ht="15" hidden="false" customHeight="false" outlineLevel="0" collapsed="false">
      <c r="A49" s="13" t="s">
        <v>446</v>
      </c>
      <c r="B49" s="21" t="n">
        <f aca="false">C_CALC!$B$34*B_PACKAGES!$G$7*A_INPUT!$B$94</f>
        <v>23763.5654261705</v>
      </c>
      <c r="D49" s="15" t="s">
        <v>316</v>
      </c>
      <c r="E49" s="16" t="s">
        <v>447</v>
      </c>
    </row>
    <row r="50" customFormat="false" ht="15" hidden="false" customHeight="false" outlineLevel="0" collapsed="false">
      <c r="A50" s="13" t="s">
        <v>448</v>
      </c>
      <c r="B50" s="21" t="n">
        <f aca="false">C_CALC!$B$32*A_INPUT!$B$96</f>
        <v>10081.512605042</v>
      </c>
      <c r="D50" s="15" t="s">
        <v>316</v>
      </c>
      <c r="E50" s="16"/>
    </row>
    <row r="51" customFormat="false" ht="15" hidden="false" customHeight="false" outlineLevel="0" collapsed="false">
      <c r="A51" s="13" t="s">
        <v>449</v>
      </c>
      <c r="B51" s="21" t="n">
        <f aca="false">C_CALC!$B$40*(A_INPUT!$B$65+A_INPUT!$B$66)</f>
        <v>0</v>
      </c>
      <c r="D51" s="15" t="s">
        <v>316</v>
      </c>
      <c r="E51" s="16"/>
    </row>
    <row r="52" customFormat="false" ht="15" hidden="false" customHeight="false" outlineLevel="0" collapsed="false">
      <c r="A52" s="13" t="s">
        <v>258</v>
      </c>
      <c r="B52" s="21" t="n">
        <f aca="false">IF(A_INPUT!$B$97="เปิดสแกน PromptPay 3% (ฟรีค่าบริการระบบ)",C_CALC!$B$43*A_INPUT!$B$99*A_INPUT!$B$98,0)</f>
        <v>3701.35534213685</v>
      </c>
      <c r="D52" s="15" t="s">
        <v>316</v>
      </c>
      <c r="E52" s="16" t="s">
        <v>450</v>
      </c>
    </row>
    <row r="53" customFormat="false" ht="15" hidden="false" customHeight="false" outlineLevel="0" collapsed="false">
      <c r="A53" s="13" t="s">
        <v>451</v>
      </c>
      <c r="B53" s="21" t="n">
        <f aca="false">C_CALC!$B$43*A_INPUT!$B$100</f>
        <v>2056.30852340936</v>
      </c>
      <c r="D53" s="15" t="s">
        <v>316</v>
      </c>
      <c r="E53" s="16"/>
    </row>
    <row r="54" customFormat="false" ht="15" hidden="false" customHeight="false" outlineLevel="0" collapsed="false">
      <c r="A54" s="13" t="s">
        <v>452</v>
      </c>
      <c r="B54" s="21" t="n">
        <f aca="false">C_CALC!$B$43*A_INPUT!$B$101</f>
        <v>0</v>
      </c>
      <c r="D54" s="15" t="s">
        <v>316</v>
      </c>
      <c r="E54" s="16"/>
    </row>
    <row r="55" customFormat="false" ht="15" hidden="false" customHeight="false" outlineLevel="0" collapsed="false">
      <c r="A55" s="13" t="s">
        <v>453</v>
      </c>
      <c r="B55" s="21" t="n">
        <f aca="false">C_CALC!$B$41*(1-A_INPUT!$B$71)+C_CALC!$B$42*(1-A_INPUT!$B$73)</f>
        <v>2200.33013205282</v>
      </c>
      <c r="D55" s="15" t="s">
        <v>316</v>
      </c>
      <c r="E55" s="16"/>
    </row>
    <row r="56" customFormat="false" ht="15" hidden="false" customHeight="false" outlineLevel="0" collapsed="false">
      <c r="A56" s="24" t="s">
        <v>454</v>
      </c>
      <c r="B56" s="28" t="n">
        <f aca="false">SUM(C_CALC!$B$48,C_CALC!$B$49,C_CALC!$B$50,C_CALC!$B$51,C_CALC!$B$52,C_CALC!$B$53,C_CALC!$B$54,C_CALC!$B$55)</f>
        <v>58852.624969988</v>
      </c>
      <c r="D56" s="15" t="s">
        <v>215</v>
      </c>
      <c r="E56" s="16"/>
    </row>
    <row r="57" customFormat="false" ht="15" hidden="false" customHeight="false" outlineLevel="0" collapsed="false">
      <c r="A57" s="13" t="s">
        <v>455</v>
      </c>
      <c r="B57" s="20" t="n">
        <f aca="false">IFERROR(C_CALC!$B$56/C_CALC!$B$43,0)</f>
        <v>0.286205227960687</v>
      </c>
      <c r="D57" s="15" t="s">
        <v>420</v>
      </c>
      <c r="E57" s="16"/>
    </row>
    <row r="58" customFormat="false" ht="15" hidden="false" customHeight="false" outlineLevel="0" collapsed="false">
      <c r="A58" s="13" t="s">
        <v>456</v>
      </c>
      <c r="B58" s="21" t="n">
        <f aca="false">C_CALC!$B$43-C_CALC!$B$56</f>
        <v>146778.227370948</v>
      </c>
      <c r="D58" s="15" t="s">
        <v>215</v>
      </c>
      <c r="E58" s="16"/>
    </row>
    <row r="59" customFormat="false" ht="15" hidden="false" customHeight="false" outlineLevel="0" collapsed="false">
      <c r="A59" s="24" t="s">
        <v>457</v>
      </c>
      <c r="B59" s="52" t="n">
        <f aca="false">IFERROR(C_CALC!$B$58/C_CALC!$B$43,0)</f>
        <v>0.713794772039313</v>
      </c>
      <c r="D59" s="15" t="s">
        <v>420</v>
      </c>
      <c r="E59" s="16"/>
    </row>
    <row r="61" customFormat="false" ht="19.5" hidden="false" customHeight="true" outlineLevel="0" collapsed="false">
      <c r="A61" s="11" t="s">
        <v>458</v>
      </c>
      <c r="B61" s="11"/>
      <c r="C61" s="11"/>
      <c r="D61" s="11"/>
      <c r="E61" s="11"/>
      <c r="F61" s="12"/>
      <c r="G61" s="12"/>
    </row>
    <row r="62" customFormat="false" ht="15" hidden="false" customHeight="false" outlineLevel="0" collapsed="false">
      <c r="A62" s="13" t="s">
        <v>459</v>
      </c>
      <c r="B62" s="53" t="n">
        <f aca="false">IF(LEFT(A_INPUT!$B$52,1)="Y",1/(1+A_INPUT!$B$51),1)</f>
        <v>1</v>
      </c>
      <c r="D62" s="15" t="s">
        <v>119</v>
      </c>
      <c r="E62" s="16" t="s">
        <v>460</v>
      </c>
    </row>
    <row r="63" customFormat="false" ht="15" hidden="false" customHeight="false" outlineLevel="0" collapsed="false">
      <c r="A63" s="13" t="s">
        <v>461</v>
      </c>
      <c r="B63" s="21" t="n">
        <f aca="false">IF(A_INPUT!$B$44&gt;0,A_INPUT!$B$44,A_INPUT!$B$43)*C_CALC!$B$62</f>
        <v>899000</v>
      </c>
      <c r="D63" s="15" t="s">
        <v>316</v>
      </c>
      <c r="E63" s="16"/>
    </row>
    <row r="64" customFormat="false" ht="15" hidden="false" customHeight="false" outlineLevel="0" collapsed="false">
      <c r="A64" s="13" t="s">
        <v>462</v>
      </c>
      <c r="B64" s="21" t="n">
        <f aca="false">A_INPUT!$B$45*C_CALC!$B$62</f>
        <v>238000</v>
      </c>
      <c r="D64" s="15" t="s">
        <v>316</v>
      </c>
      <c r="E64" s="16"/>
    </row>
    <row r="65" customFormat="false" ht="15" hidden="false" customHeight="false" outlineLevel="0" collapsed="false">
      <c r="A65" s="13" t="s">
        <v>58</v>
      </c>
      <c r="B65" s="21" t="n">
        <f aca="false">A_INPUT!$B$46*C_CALC!$B$62</f>
        <v>0</v>
      </c>
      <c r="D65" s="15" t="s">
        <v>316</v>
      </c>
      <c r="E65" s="16"/>
    </row>
    <row r="66" customFormat="false" ht="15" hidden="false" customHeight="false" outlineLevel="0" collapsed="false">
      <c r="A66" s="13" t="s">
        <v>463</v>
      </c>
      <c r="B66" s="21" t="n">
        <f aca="false">C_CALC!$B$63*A_INPUT!$B$48+C_CALC!$B$65</f>
        <v>629300</v>
      </c>
      <c r="D66" s="15" t="s">
        <v>316</v>
      </c>
      <c r="E66" s="16"/>
    </row>
    <row r="67" customFormat="false" ht="15" hidden="false" customHeight="false" outlineLevel="0" collapsed="false">
      <c r="A67" s="13" t="s">
        <v>464</v>
      </c>
      <c r="B67" s="21" t="n">
        <f aca="false">C_CALC!$B$63*(1-A_INPUT!$B$48)+C_CALC!$B$64+A_INPUT!$B$47</f>
        <v>507700</v>
      </c>
      <c r="D67" s="15" t="s">
        <v>316</v>
      </c>
      <c r="E67" s="16"/>
    </row>
    <row r="68" customFormat="false" ht="15" hidden="false" customHeight="false" outlineLevel="0" collapsed="false">
      <c r="A68" s="13" t="s">
        <v>465</v>
      </c>
      <c r="B68" s="21" t="n">
        <f aca="false">A_INPUT!$B$77*A_INPUT!$B$49</f>
        <v>75000</v>
      </c>
      <c r="D68" s="15" t="s">
        <v>316</v>
      </c>
      <c r="E68" s="16"/>
    </row>
    <row r="69" customFormat="false" ht="15" hidden="false" customHeight="false" outlineLevel="0" collapsed="false">
      <c r="A69" s="24" t="s">
        <v>466</v>
      </c>
      <c r="B69" s="54" t="n">
        <f aca="false">C_CALC!$B$66+C_CALC!$B$67+C_CALC!$B$68+A_INPUT!$B$50</f>
        <v>1362000</v>
      </c>
      <c r="D69" s="15" t="s">
        <v>316</v>
      </c>
      <c r="E69" s="16"/>
    </row>
    <row r="70" customFormat="false" ht="15" hidden="false" customHeight="false" outlineLevel="0" collapsed="false">
      <c r="A70" s="13" t="s">
        <v>467</v>
      </c>
      <c r="B70" s="21" t="n">
        <f aca="false">C_CALC!$B$69*A_INPUT!$B$104</f>
        <v>0</v>
      </c>
      <c r="D70" s="15" t="s">
        <v>316</v>
      </c>
      <c r="E70" s="16"/>
    </row>
    <row r="71" customFormat="false" ht="15" hidden="false" customHeight="false" outlineLevel="0" collapsed="false">
      <c r="A71" s="24" t="s">
        <v>468</v>
      </c>
      <c r="B71" s="25" t="n">
        <f aca="false">C_CALC!$B$69-C_CALC!$B$70</f>
        <v>1362000</v>
      </c>
      <c r="D71" s="15" t="s">
        <v>316</v>
      </c>
      <c r="E71" s="16"/>
    </row>
    <row r="72" customFormat="false" ht="15" hidden="false" customHeight="false" outlineLevel="0" collapsed="false">
      <c r="A72" s="13" t="s">
        <v>469</v>
      </c>
      <c r="B72" s="21" t="n">
        <f aca="false">IFERROR(IF(C_CALC!$B$70&gt;0,PMT(A_INPUT!$B$105/12,A_INPUT!$B$106*12,-C_CALC!$B$70),0),0)</f>
        <v>0</v>
      </c>
      <c r="D72" s="15" t="s">
        <v>215</v>
      </c>
      <c r="E72" s="16"/>
    </row>
    <row r="74" customFormat="false" ht="19.5" hidden="false" customHeight="true" outlineLevel="0" collapsed="false">
      <c r="A74" s="11" t="s">
        <v>470</v>
      </c>
      <c r="B74" s="11"/>
      <c r="C74" s="11"/>
      <c r="D74" s="11"/>
      <c r="E74" s="11"/>
      <c r="F74" s="12"/>
      <c r="G74" s="12"/>
    </row>
    <row r="75" customFormat="false" ht="15" hidden="false" customHeight="false" outlineLevel="0" collapsed="false">
      <c r="A75" s="24" t="s">
        <v>471</v>
      </c>
      <c r="B75" s="25" t="n">
        <f aca="false">C_CALC!$B$43</f>
        <v>205630.852340936</v>
      </c>
      <c r="D75" s="15" t="s">
        <v>316</v>
      </c>
      <c r="E75" s="16"/>
    </row>
    <row r="76" customFormat="false" ht="15" hidden="false" customHeight="false" outlineLevel="0" collapsed="false">
      <c r="A76" s="13" t="s">
        <v>472</v>
      </c>
      <c r="B76" s="21" t="n">
        <f aca="false">-C_CALC!$B$56</f>
        <v>-58852.624969988</v>
      </c>
      <c r="D76" s="15" t="s">
        <v>316</v>
      </c>
      <c r="E76" s="16"/>
    </row>
    <row r="77" customFormat="false" ht="15" hidden="false" customHeight="false" outlineLevel="0" collapsed="false">
      <c r="A77" s="13" t="s">
        <v>473</v>
      </c>
      <c r="B77" s="21" t="n">
        <f aca="false">-A_INPUT!$B$87</f>
        <v>-45583.3333333333</v>
      </c>
      <c r="D77" s="15" t="s">
        <v>316</v>
      </c>
      <c r="E77" s="16"/>
    </row>
    <row r="78" customFormat="false" ht="15" hidden="false" customHeight="false" outlineLevel="0" collapsed="false">
      <c r="A78" s="24" t="s">
        <v>474</v>
      </c>
      <c r="B78" s="28" t="n">
        <f aca="false">C_CALC!$B$75+C_CALC!$B$76+C_CALC!$B$77</f>
        <v>101194.894037615</v>
      </c>
      <c r="D78" s="15" t="s">
        <v>316</v>
      </c>
      <c r="E78" s="16"/>
    </row>
    <row r="79" customFormat="false" ht="15" hidden="false" customHeight="false" outlineLevel="0" collapsed="false">
      <c r="A79" s="13" t="s">
        <v>475</v>
      </c>
      <c r="B79" s="21" t="n">
        <f aca="false">IFERROR(C_CALC!$B$66/A_INPUT!$B$107/12,0)+IFERROR(C_CALC!$B$67/A_INPUT!$B$108/12,0)</f>
        <v>15016.875</v>
      </c>
      <c r="D79" s="15" t="s">
        <v>316</v>
      </c>
      <c r="E79" s="16"/>
    </row>
    <row r="80" customFormat="false" ht="15" hidden="false" customHeight="false" outlineLevel="0" collapsed="false">
      <c r="A80" s="13" t="s">
        <v>476</v>
      </c>
      <c r="B80" s="21" t="n">
        <f aca="false">C_CALC!$B$78-C_CALC!$B$79</f>
        <v>86178.019037615</v>
      </c>
      <c r="D80" s="15" t="s">
        <v>316</v>
      </c>
      <c r="E80" s="16"/>
    </row>
    <row r="81" customFormat="false" ht="15" hidden="false" customHeight="false" outlineLevel="0" collapsed="false">
      <c r="A81" s="13" t="s">
        <v>477</v>
      </c>
      <c r="B81" s="21" t="n">
        <f aca="false">C_CALC!$B$70*A_INPUT!$B$105/12</f>
        <v>0</v>
      </c>
      <c r="D81" s="15" t="s">
        <v>316</v>
      </c>
      <c r="E81" s="16"/>
    </row>
    <row r="82" customFormat="false" ht="15" hidden="false" customHeight="false" outlineLevel="0" collapsed="false">
      <c r="A82" s="13" t="s">
        <v>478</v>
      </c>
      <c r="B82" s="21" t="n">
        <f aca="false">C_CALC!$B$80-C_CALC!$B$81</f>
        <v>86178.019037615</v>
      </c>
      <c r="D82" s="15" t="s">
        <v>316</v>
      </c>
      <c r="E82" s="16"/>
    </row>
    <row r="83" customFormat="false" ht="15" hidden="false" customHeight="false" outlineLevel="0" collapsed="false">
      <c r="A83" s="13" t="s">
        <v>479</v>
      </c>
      <c r="B83" s="21" t="n">
        <f aca="false">MAX(0,C_CALC!$B$82)*A_INPUT!$B$109</f>
        <v>17235.603807523</v>
      </c>
      <c r="D83" s="15" t="s">
        <v>316</v>
      </c>
      <c r="E83" s="16"/>
    </row>
    <row r="84" customFormat="false" ht="15" hidden="false" customHeight="false" outlineLevel="0" collapsed="false">
      <c r="A84" s="24" t="s">
        <v>480</v>
      </c>
      <c r="B84" s="54" t="n">
        <f aca="false">C_CALC!$B$82-C_CALC!$B$83</f>
        <v>68942.415230092</v>
      </c>
      <c r="D84" s="15" t="s">
        <v>215</v>
      </c>
      <c r="E84" s="16"/>
    </row>
    <row r="85" customFormat="false" ht="15" hidden="false" customHeight="false" outlineLevel="0" collapsed="false">
      <c r="A85" s="24" t="s">
        <v>481</v>
      </c>
      <c r="B85" s="52" t="n">
        <f aca="false">IFERROR(C_CALC!$B$84/C_CALC!$B$43,0)</f>
        <v>0.335272720242317</v>
      </c>
      <c r="D85" s="15" t="s">
        <v>420</v>
      </c>
      <c r="E85" s="16"/>
    </row>
    <row r="86" customFormat="false" ht="15" hidden="false" customHeight="false" outlineLevel="0" collapsed="false">
      <c r="A86" s="13" t="s">
        <v>482</v>
      </c>
      <c r="B86" s="20" t="n">
        <f aca="false">IFERROR(C_CALC!$B$78/C_CALC!$B$43,0)</f>
        <v>0.492119216963774</v>
      </c>
      <c r="D86" s="15" t="s">
        <v>420</v>
      </c>
      <c r="E86" s="16"/>
    </row>
    <row r="87" customFormat="false" ht="15" hidden="false" customHeight="false" outlineLevel="0" collapsed="false">
      <c r="A87" s="24" t="s">
        <v>483</v>
      </c>
      <c r="B87" s="25" t="n">
        <f aca="false">C_CALC!$B$84+C_CALC!$B$79</f>
        <v>83959.290230092</v>
      </c>
      <c r="D87" s="15" t="s">
        <v>215</v>
      </c>
      <c r="E87" s="16" t="s">
        <v>484</v>
      </c>
    </row>
    <row r="89" customFormat="false" ht="19.5" hidden="false" customHeight="true" outlineLevel="0" collapsed="false">
      <c r="A89" s="11" t="s">
        <v>485</v>
      </c>
      <c r="B89" s="11"/>
      <c r="C89" s="11"/>
      <c r="D89" s="11"/>
      <c r="E89" s="11"/>
      <c r="F89" s="12"/>
      <c r="G89" s="12"/>
    </row>
    <row r="90" customFormat="false" ht="15" hidden="false" customHeight="false" outlineLevel="0" collapsed="false">
      <c r="A90" s="24" t="s">
        <v>486</v>
      </c>
      <c r="B90" s="55" t="n">
        <f aca="false">IFERROR(IF(C_CALC!$B$87&lt;=0,999,C_CALC!$B$69/C_CALC!$B$87),999)</f>
        <v>16.2221476178207</v>
      </c>
      <c r="D90" s="15" t="s">
        <v>487</v>
      </c>
      <c r="E90" s="16"/>
    </row>
    <row r="91" customFormat="false" ht="15" hidden="false" customHeight="false" outlineLevel="0" collapsed="false">
      <c r="A91" s="13" t="s">
        <v>488</v>
      </c>
      <c r="B91" s="50" t="n">
        <f aca="false">C_CALC!$B$90/12</f>
        <v>1.35184563481839</v>
      </c>
      <c r="D91" s="15" t="s">
        <v>272</v>
      </c>
      <c r="E91" s="16"/>
    </row>
    <row r="92" customFormat="false" ht="15" hidden="false" customHeight="false" outlineLevel="0" collapsed="false">
      <c r="A92" s="24" t="s">
        <v>489</v>
      </c>
      <c r="B92" s="52" t="n">
        <f aca="false">IFERROR(C_CALC!$B$84*12/C_CALC!$B$69,0)</f>
        <v>0.607422160617551</v>
      </c>
      <c r="D92" s="15" t="s">
        <v>420</v>
      </c>
      <c r="E92" s="16"/>
    </row>
    <row r="93" customFormat="false" ht="15" hidden="false" customHeight="false" outlineLevel="0" collapsed="false">
      <c r="A93" s="13" t="s">
        <v>490</v>
      </c>
      <c r="B93" s="20" t="n">
        <f aca="false">IFERROR(C_CALC!$B$84*12/C_CALC!$B$71,0)</f>
        <v>0.607422160617551</v>
      </c>
      <c r="D93" s="15" t="s">
        <v>420</v>
      </c>
      <c r="E93" s="16"/>
    </row>
    <row r="94" customFormat="false" ht="15" hidden="false" customHeight="false" outlineLevel="0" collapsed="false">
      <c r="A94" s="13" t="s">
        <v>491</v>
      </c>
      <c r="B94" s="21" t="n">
        <f aca="false">IFERROR((A_INPUT!$B$87+C_CALC!$B$81)/C_CALC!$B$59,0)</f>
        <v>63860.5592516483</v>
      </c>
      <c r="D94" s="15" t="s">
        <v>215</v>
      </c>
      <c r="E94" s="16" t="s">
        <v>492</v>
      </c>
    </row>
    <row r="95" customFormat="false" ht="15" hidden="false" customHeight="false" outlineLevel="0" collapsed="false">
      <c r="A95" s="24" t="s">
        <v>493</v>
      </c>
      <c r="B95" s="55" t="n">
        <f aca="false">IFERROR(C_CALC!$B$94/C_CALC!$B$45/A_INPUT!$B$60,0)</f>
        <v>42.5737061677655</v>
      </c>
      <c r="D95" s="15" t="s">
        <v>432</v>
      </c>
      <c r="E95" s="16"/>
    </row>
    <row r="96" customFormat="false" ht="15" hidden="false" customHeight="false" outlineLevel="0" collapsed="false">
      <c r="A96" s="13" t="s">
        <v>494</v>
      </c>
      <c r="B96" s="20" t="n">
        <f aca="false">IFERROR(C_CALC!$B$94/C_CALC!$B$43,0)</f>
        <v>0.310559230410461</v>
      </c>
      <c r="D96" s="15" t="s">
        <v>420</v>
      </c>
      <c r="E96" s="16" t="s">
        <v>495</v>
      </c>
    </row>
    <row r="97" customFormat="false" ht="15" hidden="false" customHeight="false" outlineLevel="0" collapsed="false">
      <c r="A97" s="13" t="s">
        <v>496</v>
      </c>
      <c r="B97" s="56" t="str">
        <f aca="false">IFERROR(IF(C_CALC!$B$72=0,"N/A",C_CALC!$B$78/C_CALC!$B$72),"N/A")</f>
        <v>N/A</v>
      </c>
      <c r="D97" s="15" t="s">
        <v>497</v>
      </c>
      <c r="E97" s="16" t="s">
        <v>498</v>
      </c>
    </row>
    <row r="98" customFormat="false" ht="15" hidden="false" customHeight="false" outlineLevel="0" collapsed="false">
      <c r="A98" s="13" t="s">
        <v>499</v>
      </c>
      <c r="B98" s="50" t="n">
        <f aca="false">IFERROR(B_PACKAGES!$H$6/(C_CALC!$B$33*12/C_CALC!$B$4),99)</f>
        <v>5.42453321663749</v>
      </c>
      <c r="D98" s="15" t="s">
        <v>272</v>
      </c>
      <c r="E98" s="16" t="s">
        <v>500</v>
      </c>
    </row>
    <row r="100" customFormat="false" ht="19.5" hidden="false" customHeight="true" outlineLevel="0" collapsed="false">
      <c r="A100" s="11" t="s">
        <v>501</v>
      </c>
      <c r="B100" s="11"/>
      <c r="C100" s="11"/>
      <c r="D100" s="11"/>
      <c r="E100" s="11"/>
      <c r="F100" s="12"/>
      <c r="G100" s="12"/>
    </row>
    <row r="101" customFormat="false" ht="15" hidden="false" customHeight="false" outlineLevel="0" collapsed="false">
      <c r="A101" s="13" t="s">
        <v>502</v>
      </c>
      <c r="B101" s="57" t="str">
        <f aca="false">IF(C_CALC!$B$28&gt;1,"เครื่องไม่พอ — ความต้องการเกินกำลังผลิต ควรอัปแพ็กเกจหรือขึ้นราคา",IF(C_CALC!$B$28&lt;0.4,"ลงทุนเกินความต้องการ — พิจารณาลดขนาดแพ็กเกจ","OK"))</f>
        <v>เครื่องไม่พอ — ความต้องการเกินกำลังผลิต ควรอัปแพ็กเกจหรือขึ้นราคา</v>
      </c>
      <c r="D101" s="15" t="s">
        <v>503</v>
      </c>
      <c r="E101" s="16" t="s">
        <v>504</v>
      </c>
    </row>
    <row r="102" customFormat="false" ht="15" hidden="false" customHeight="false" outlineLevel="0" collapsed="false">
      <c r="A102" s="13" t="s">
        <v>505</v>
      </c>
      <c r="B102" s="57" t="str">
        <f aca="false">IF(IFERROR(A_INPUT!$B$77/C_CALC!$B$43,1)&gt;0.15,"ค่าเช่าสูงเกิน 15% ของยอดขาย — ต่อรองใหม่","OK")</f>
        <v>OK</v>
      </c>
      <c r="D102" s="15" t="s">
        <v>503</v>
      </c>
      <c r="E102" s="16" t="s">
        <v>506</v>
      </c>
    </row>
    <row r="103" customFormat="false" ht="15" hidden="false" customHeight="false" outlineLevel="0" collapsed="false">
      <c r="A103" s="13" t="s">
        <v>507</v>
      </c>
      <c r="B103" s="57" t="str">
        <f aca="false">IF(IFERROR((C_CALC!$B$48+C_CALC!$B$49)/C_CALC!$B$43,1)&gt;0.25,"ค่าน้ำ-ไฟ-แก๊สสูงเกิน 25% — ตรวจสอบอัตราค่าไฟ/ค่าแก๊ส และ %การใช้งาน","OK")</f>
        <v>OK</v>
      </c>
      <c r="D103" s="15" t="s">
        <v>503</v>
      </c>
      <c r="E103" s="16" t="s">
        <v>508</v>
      </c>
    </row>
    <row r="104" customFormat="false" ht="15" hidden="false" customHeight="false" outlineLevel="0" collapsed="false">
      <c r="A104" s="13" t="s">
        <v>509</v>
      </c>
      <c r="B104" s="57" t="str">
        <f aca="false">IF(C_CALC!$B$90&gt;36,"คืนทุนช้ากว่า 36 เดือน — ทบทวนทำเล/ค่าเช่า/ราคา",IF(C_CALC!$B$90&gt;24,"คืนทุน 24-36 เดือน — รับได้แต่ควรปรับปรุง","ดี: คืนทุนภายใน 24 เดือน"))</f>
        <v>ดี: คืนทุนภายใน 24 เดือน</v>
      </c>
      <c r="D104" s="15" t="s">
        <v>503</v>
      </c>
      <c r="E104" s="16" t="s">
        <v>510</v>
      </c>
    </row>
    <row r="105" customFormat="false" ht="15" hidden="false" customHeight="false" outlineLevel="0" collapsed="false">
      <c r="A105" s="13" t="s">
        <v>511</v>
      </c>
      <c r="B105" s="57" t="str">
        <f aca="false">IF(C_CALC!$B$96&gt;0.8,"เสี่ยงสูง — ยอดขายต้องถึง 80%+ ของประมาณการจึงจะคุ้มทุน","OK")</f>
        <v>OK</v>
      </c>
      <c r="D105" s="15" t="s">
        <v>503</v>
      </c>
      <c r="E105" s="16" t="s">
        <v>512</v>
      </c>
    </row>
    <row r="106" customFormat="false" ht="15" hidden="false" customHeight="false" outlineLevel="0" collapsed="false">
      <c r="A106" s="13" t="s">
        <v>513</v>
      </c>
      <c r="B106" s="57" t="str">
        <f aca="false">IF(C_CALC!$B$98&lt;A_INPUT!$B$107,"เครื่องจะครบ 30,000 รอบก่อนตัดค่าเสื่อมหมด — ตั้งงบเปลี่ยนเครื่องเพิ่ม","OK")</f>
        <v>เครื่องจะครบ 30,000 รอบก่อนตัดค่าเสื่อมหมด — ตั้งงบเปลี่ยนเครื่องเพิ่ม</v>
      </c>
      <c r="D106" s="15" t="s">
        <v>503</v>
      </c>
      <c r="E106" s="16" t="s">
        <v>514</v>
      </c>
    </row>
    <row r="107" customFormat="false" ht="15" hidden="false" customHeight="false" outlineLevel="0" collapsed="false">
      <c r="A107" s="13" t="s">
        <v>515</v>
      </c>
      <c r="B107" s="57" t="str">
        <f aca="false">IF(A_INPUT!$B$97="เปิดสแกน PromptPay 3% (ฟรีค่าบริการระบบ)",IF(C_CALC!$B$43*A_INPUT!$B$99*A_INPUT!$B$98&gt;F_SERVICE!$B$24,"ยอดสแกนสูง — ค่าธรรมเนียม 3% แพงกว่าค่าบริการระบบแบบรายเดือน ลองเทียบ F_SERVICE","OK — เปิดสแกนคุ้มกว่า"),"OK — ไม่เปิดสแกน")</f>
        <v>ยอดสแกนสูง — ค่าธรรมเนียม 3% แพงกว่าค่าบริการระบบแบบรายเดือน ลองเทียบ F_SERVICE</v>
      </c>
      <c r="D107" s="15" t="s">
        <v>503</v>
      </c>
      <c r="E107" s="16" t="s">
        <v>516</v>
      </c>
    </row>
  </sheetData>
  <mergeCells count="10">
    <mergeCell ref="A1:E1"/>
    <mergeCell ref="A3:E3"/>
    <mergeCell ref="A19:E19"/>
    <mergeCell ref="A24:E24"/>
    <mergeCell ref="A37:E37"/>
    <mergeCell ref="A47:E47"/>
    <mergeCell ref="A61:E61"/>
    <mergeCell ref="A74:E74"/>
    <mergeCell ref="A89:E89"/>
    <mergeCell ref="A100:E10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H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4"/>
    <col collapsed="false" customWidth="true" hidden="false" outlineLevel="0" max="4" min="4" style="0" width="30"/>
    <col collapsed="false" customWidth="true" hidden="false" outlineLevel="0" max="5" min="5" style="0" width="18"/>
    <col collapsed="false" customWidth="true" hidden="false" outlineLevel="0" max="6" min="6" style="0" width="4"/>
    <col collapsed="false" customWidth="true" hidden="false" outlineLevel="0" max="7" min="7" style="0" width="26"/>
    <col collapsed="false" customWidth="true" hidden="false" outlineLevel="0" max="8" min="8" style="0" width="18"/>
  </cols>
  <sheetData>
    <row r="1" customFormat="false" ht="31.5" hidden="false" customHeight="true" outlineLevel="0" collapsed="false">
      <c r="A1" s="1" t="s">
        <v>517</v>
      </c>
      <c r="B1" s="1"/>
      <c r="C1" s="1"/>
      <c r="D1" s="1"/>
      <c r="E1" s="1"/>
      <c r="F1" s="1"/>
      <c r="G1" s="1"/>
      <c r="H1" s="1"/>
    </row>
    <row r="2" customFormat="false" ht="12.65" hidden="false" customHeight="false" outlineLevel="0" collapsed="false">
      <c r="A2" s="58" t="str">
        <f aca="false">"โครงการ: "&amp;A_INPUT!$B$5&amp;"   |   ลูกค้า: "&amp;A_INPUT!$B$6&amp;"   |   ทำเล: "&amp;A_INPUT!$B$7&amp;"   |   แพ็กเกจ: "&amp;A_INPUT!$B$25&amp;"   |   ผู้รับผิดชอบ: "&amp;A_INPUT!$B$9</f>
        <v>โครงการ: Laundromat_สาขาตัวอย่าง   |   ลูกค้า: K.ตัวอย่าง   |   ทำเล: ระบุชื่อทำเล   |   แพ็กเกจ: L   |   ผู้รับผิดชอบ: Krittanan</v>
      </c>
      <c r="B2" s="58"/>
      <c r="C2" s="58"/>
      <c r="D2" s="58"/>
      <c r="E2" s="58"/>
      <c r="F2" s="58"/>
      <c r="G2" s="58"/>
      <c r="H2" s="58"/>
    </row>
    <row r="4" customFormat="false" ht="15" hidden="false" customHeight="false" outlineLevel="0" collapsed="false">
      <c r="A4" s="59" t="s">
        <v>518</v>
      </c>
      <c r="B4" s="60"/>
      <c r="C4" s="60"/>
      <c r="D4" s="60"/>
      <c r="E4" s="60"/>
      <c r="F4" s="60"/>
      <c r="G4" s="60"/>
      <c r="H4" s="60"/>
    </row>
    <row r="5" customFormat="false" ht="25.5" hidden="false" customHeight="true" outlineLevel="0" collapsed="false">
      <c r="A5" s="61" t="s">
        <v>519</v>
      </c>
      <c r="B5" s="62" t="n">
        <f aca="false">C_CALC!$B$69</f>
        <v>1362000</v>
      </c>
      <c r="D5" s="61" t="s">
        <v>520</v>
      </c>
      <c r="E5" s="62" t="n">
        <f aca="false">C_CALC!$B$43</f>
        <v>205630.852340936</v>
      </c>
      <c r="G5" s="61" t="s">
        <v>521</v>
      </c>
      <c r="H5" s="62" t="n">
        <f aca="false">C_CALC!$B$78</f>
        <v>101194.894037615</v>
      </c>
    </row>
    <row r="6" customFormat="false" ht="15" hidden="false" customHeight="false" outlineLevel="0" collapsed="false">
      <c r="A6" s="63" t="s">
        <v>316</v>
      </c>
      <c r="B6" s="13"/>
      <c r="D6" s="63" t="s">
        <v>215</v>
      </c>
      <c r="E6" s="13"/>
      <c r="G6" s="63" t="s">
        <v>215</v>
      </c>
      <c r="H6" s="13"/>
    </row>
    <row r="7" customFormat="false" ht="25.5" hidden="false" customHeight="true" outlineLevel="0" collapsed="false">
      <c r="A7" s="61" t="s">
        <v>522</v>
      </c>
      <c r="B7" s="62" t="n">
        <f aca="false">C_CALC!$B$84</f>
        <v>68942.415230092</v>
      </c>
      <c r="D7" s="61" t="s">
        <v>523</v>
      </c>
      <c r="E7" s="64" t="n">
        <f aca="false">C_CALC!$B$85</f>
        <v>0.335272720242317</v>
      </c>
      <c r="G7" s="61" t="s">
        <v>509</v>
      </c>
      <c r="H7" s="65" t="n">
        <f aca="false">C_CALC!$B$90</f>
        <v>16.2221476178207</v>
      </c>
    </row>
    <row r="8" customFormat="false" ht="15" hidden="false" customHeight="false" outlineLevel="0" collapsed="false">
      <c r="A8" s="63" t="s">
        <v>215</v>
      </c>
      <c r="B8" s="13"/>
      <c r="D8" s="63" t="s">
        <v>420</v>
      </c>
      <c r="E8" s="13"/>
      <c r="G8" s="63" t="s">
        <v>487</v>
      </c>
      <c r="H8" s="13"/>
    </row>
    <row r="9" customFormat="false" ht="25.5" hidden="false" customHeight="true" outlineLevel="0" collapsed="false">
      <c r="A9" s="61" t="s">
        <v>489</v>
      </c>
      <c r="B9" s="64" t="n">
        <f aca="false">C_CALC!$B$92</f>
        <v>0.607422160617551</v>
      </c>
      <c r="D9" s="61" t="s">
        <v>524</v>
      </c>
      <c r="E9" s="65" t="n">
        <f aca="false">C_CALC!$B$95</f>
        <v>42.5737061677655</v>
      </c>
      <c r="G9" s="61" t="s">
        <v>525</v>
      </c>
      <c r="H9" s="64" t="n">
        <f aca="false">C_CALC!$B$28</f>
        <v>1.02523677794449</v>
      </c>
    </row>
    <row r="10" customFormat="false" ht="15" hidden="false" customHeight="false" outlineLevel="0" collapsed="false">
      <c r="A10" s="63" t="s">
        <v>526</v>
      </c>
      <c r="B10" s="13"/>
      <c r="D10" s="63" t="s">
        <v>432</v>
      </c>
      <c r="E10" s="13"/>
      <c r="G10" s="63" t="s">
        <v>420</v>
      </c>
      <c r="H10" s="13"/>
    </row>
    <row r="12" customFormat="false" ht="15" hidden="false" customHeight="false" outlineLevel="0" collapsed="false">
      <c r="A12" s="59" t="s">
        <v>527</v>
      </c>
      <c r="B12" s="60"/>
      <c r="C12" s="60"/>
      <c r="D12" s="60"/>
      <c r="E12" s="60"/>
      <c r="F12" s="60"/>
      <c r="G12" s="60"/>
      <c r="H12" s="60"/>
    </row>
    <row r="13" customFormat="false" ht="15" hidden="false" customHeight="false" outlineLevel="0" collapsed="false">
      <c r="A13" s="66" t="s">
        <v>303</v>
      </c>
      <c r="B13" s="66" t="s">
        <v>215</v>
      </c>
      <c r="D13" s="66" t="s">
        <v>528</v>
      </c>
      <c r="E13" s="66" t="s">
        <v>529</v>
      </c>
    </row>
    <row r="14" customFormat="false" ht="15" hidden="false" customHeight="false" outlineLevel="0" collapsed="false">
      <c r="A14" s="13" t="s">
        <v>434</v>
      </c>
      <c r="B14" s="21" t="n">
        <f aca="false">C_CALC!$B$38</f>
        <v>115217.286914766</v>
      </c>
      <c r="D14" s="20" t="n">
        <f aca="false">IFERROR(B14/C_CALC!$B$43,0)</f>
        <v>0.560311284046693</v>
      </c>
      <c r="E14" s="21" t="n">
        <f aca="false">B14*12</f>
        <v>1382607.44297719</v>
      </c>
    </row>
    <row r="15" customFormat="false" ht="15" hidden="false" customHeight="false" outlineLevel="0" collapsed="false">
      <c r="A15" s="13" t="s">
        <v>435</v>
      </c>
      <c r="B15" s="21" t="n">
        <f aca="false">C_CALC!$B$39</f>
        <v>86412.9651860744</v>
      </c>
      <c r="D15" s="20" t="n">
        <f aca="false">IFERROR(B15/C_CALC!$B$43,0)</f>
        <v>0.420233463035019</v>
      </c>
      <c r="E15" s="21" t="n">
        <f aca="false">B15*12</f>
        <v>1036955.58223289</v>
      </c>
    </row>
    <row r="16" customFormat="false" ht="15" hidden="false" customHeight="false" outlineLevel="0" collapsed="false">
      <c r="A16" s="13" t="s">
        <v>436</v>
      </c>
      <c r="B16" s="21" t="n">
        <f aca="false">C_CALC!$B$40</f>
        <v>0</v>
      </c>
      <c r="D16" s="20" t="n">
        <f aca="false">IFERROR(B16/C_CALC!$B$43,0)</f>
        <v>0</v>
      </c>
      <c r="E16" s="21" t="n">
        <f aca="false">B16*12</f>
        <v>0</v>
      </c>
    </row>
    <row r="17" customFormat="false" ht="15" hidden="false" customHeight="false" outlineLevel="0" collapsed="false">
      <c r="A17" s="13" t="s">
        <v>530</v>
      </c>
      <c r="B17" s="21" t="n">
        <f aca="false">C_CALC!$B$41+C_CALC!$B$42</f>
        <v>4000.60024009604</v>
      </c>
      <c r="D17" s="20" t="n">
        <f aca="false">IFERROR(B17/C_CALC!$B$43,0)</f>
        <v>0.0194552529182879</v>
      </c>
      <c r="E17" s="21" t="n">
        <f aca="false">B17*12</f>
        <v>48007.2028811525</v>
      </c>
    </row>
    <row r="18" customFormat="false" ht="15" hidden="false" customHeight="false" outlineLevel="0" collapsed="false">
      <c r="A18" s="39" t="s">
        <v>531</v>
      </c>
      <c r="B18" s="28" t="n">
        <f aca="false">C_CALC!$B$43</f>
        <v>205630.852340936</v>
      </c>
      <c r="D18" s="67" t="n">
        <f aca="false">IFERROR(B18/C_CALC!$B$43,0)</f>
        <v>1</v>
      </c>
      <c r="E18" s="28" t="n">
        <f aca="false">B18*12</f>
        <v>2467570.22809124</v>
      </c>
    </row>
    <row r="19" customFormat="false" ht="15" hidden="false" customHeight="false" outlineLevel="0" collapsed="false">
      <c r="A19" s="13" t="s">
        <v>532</v>
      </c>
      <c r="B19" s="21" t="n">
        <f aca="false">-C_CALC!$B$48</f>
        <v>-17049.5529411765</v>
      </c>
      <c r="D19" s="20" t="n">
        <f aca="false">IFERROR(B19/C_CALC!$B$43,0)</f>
        <v>-0.0829133991669124</v>
      </c>
      <c r="E19" s="21" t="n">
        <f aca="false">B19*12</f>
        <v>-204594.635294118</v>
      </c>
    </row>
    <row r="20" customFormat="false" ht="15" hidden="false" customHeight="false" outlineLevel="0" collapsed="false">
      <c r="A20" s="13" t="s">
        <v>533</v>
      </c>
      <c r="B20" s="21" t="n">
        <f aca="false">-C_CALC!$B$49</f>
        <v>-23763.5654261705</v>
      </c>
      <c r="D20" s="20" t="n">
        <f aca="false">IFERROR(B20/C_CALC!$B$43,0)</f>
        <v>-0.11556420233463</v>
      </c>
      <c r="E20" s="21" t="n">
        <f aca="false">B20*12</f>
        <v>-285162.785114046</v>
      </c>
    </row>
    <row r="21" customFormat="false" ht="15" hidden="false" customHeight="false" outlineLevel="0" collapsed="false">
      <c r="A21" s="13" t="s">
        <v>448</v>
      </c>
      <c r="B21" s="21" t="n">
        <f aca="false">-C_CALC!$B$50</f>
        <v>-10081.512605042</v>
      </c>
      <c r="D21" s="20" t="n">
        <f aca="false">IFERROR(B21/C_CALC!$B$43,0)</f>
        <v>-0.0490272373540856</v>
      </c>
      <c r="E21" s="21" t="n">
        <f aca="false">B21*12</f>
        <v>-120978.151260504</v>
      </c>
    </row>
    <row r="22" customFormat="false" ht="15" hidden="false" customHeight="false" outlineLevel="0" collapsed="false">
      <c r="A22" s="13" t="s">
        <v>534</v>
      </c>
      <c r="B22" s="21" t="n">
        <f aca="false">-C_CALC!$B$52-C_CALC!$B$51</f>
        <v>-3701.35534213685</v>
      </c>
      <c r="D22" s="20" t="n">
        <f aca="false">IFERROR(B22/C_CALC!$B$43,0)</f>
        <v>-0.018</v>
      </c>
      <c r="E22" s="21" t="n">
        <f aca="false">B22*12</f>
        <v>-44416.2641056422</v>
      </c>
    </row>
    <row r="23" customFormat="false" ht="15" hidden="false" customHeight="false" outlineLevel="0" collapsed="false">
      <c r="A23" s="13" t="s">
        <v>535</v>
      </c>
      <c r="B23" s="21" t="n">
        <f aca="false">-C_CALC!$B$53-C_CALC!$B$54-C_CALC!$B$55</f>
        <v>-4256.63865546218</v>
      </c>
      <c r="D23" s="20" t="n">
        <f aca="false">IFERROR(B23/C_CALC!$B$43,0)</f>
        <v>-0.0207003891050584</v>
      </c>
      <c r="E23" s="21" t="n">
        <f aca="false">B23*12</f>
        <v>-51079.6638655462</v>
      </c>
    </row>
    <row r="24" customFormat="false" ht="15" hidden="false" customHeight="false" outlineLevel="0" collapsed="false">
      <c r="A24" s="39" t="s">
        <v>536</v>
      </c>
      <c r="B24" s="28" t="n">
        <f aca="false">-C_CALC!$B$56</f>
        <v>-58852.624969988</v>
      </c>
      <c r="D24" s="67" t="n">
        <f aca="false">IFERROR(B24/C_CALC!$B$43,0)</f>
        <v>-0.286205227960687</v>
      </c>
      <c r="E24" s="28" t="n">
        <f aca="false">B24*12</f>
        <v>-706231.499639856</v>
      </c>
    </row>
    <row r="25" customFormat="false" ht="15" hidden="false" customHeight="false" outlineLevel="0" collapsed="false">
      <c r="A25" s="39" t="s">
        <v>456</v>
      </c>
      <c r="B25" s="28" t="n">
        <f aca="false">C_CALC!$B$58</f>
        <v>146778.227370948</v>
      </c>
      <c r="D25" s="67" t="n">
        <f aca="false">IFERROR(B25/C_CALC!$B$43,0)</f>
        <v>0.713794772039313</v>
      </c>
      <c r="E25" s="28" t="n">
        <f aca="false">B25*12</f>
        <v>1761338.72845138</v>
      </c>
    </row>
    <row r="26" customFormat="false" ht="15" hidden="false" customHeight="false" outlineLevel="0" collapsed="false">
      <c r="A26" s="13" t="s">
        <v>537</v>
      </c>
      <c r="B26" s="21" t="n">
        <f aca="false">-A_INPUT!$B$77</f>
        <v>-25000</v>
      </c>
      <c r="D26" s="20" t="n">
        <f aca="false">IFERROR(B26/C_CALC!$B$43,0)</f>
        <v>-0.121577086878724</v>
      </c>
      <c r="E26" s="21" t="n">
        <f aca="false">B26*12</f>
        <v>-300000</v>
      </c>
    </row>
    <row r="27" customFormat="false" ht="15" hidden="false" customHeight="false" outlineLevel="0" collapsed="false">
      <c r="A27" s="13" t="s">
        <v>538</v>
      </c>
      <c r="B27" s="21" t="n">
        <f aca="false">-A_INPUT!$B$79</f>
        <v>-12000</v>
      </c>
      <c r="D27" s="20" t="n">
        <f aca="false">IFERROR(B27/C_CALC!$B$43,0)</f>
        <v>-0.0583570017017873</v>
      </c>
      <c r="E27" s="21" t="n">
        <f aca="false">B27*12</f>
        <v>-144000</v>
      </c>
    </row>
    <row r="28" customFormat="false" ht="15" hidden="false" customHeight="false" outlineLevel="0" collapsed="false">
      <c r="A28" s="13" t="s">
        <v>539</v>
      </c>
      <c r="B28" s="21" t="n">
        <f aca="false">-A_INPUT!$B$82-A_INPUT!$B$83</f>
        <v>-583.333333333333</v>
      </c>
      <c r="D28" s="20" t="n">
        <f aca="false">IFERROR(B28/C_CALC!$B$43,0)</f>
        <v>-0.00283679869383688</v>
      </c>
      <c r="E28" s="21" t="n">
        <f aca="false">B28*12</f>
        <v>-7000</v>
      </c>
    </row>
    <row r="29" customFormat="false" ht="15" hidden="false" customHeight="false" outlineLevel="0" collapsed="false">
      <c r="A29" s="13" t="s">
        <v>232</v>
      </c>
      <c r="B29" s="21" t="n">
        <f aca="false">-(A_INPUT!$B$87-A_INPUT!$B$77-A_INPUT!$B$79-A_INPUT!$B$82-A_INPUT!$B$83)</f>
        <v>-8000</v>
      </c>
      <c r="D29" s="20" t="n">
        <f aca="false">IFERROR(B29/C_CALC!$B$43,0)</f>
        <v>-0.0389046678011916</v>
      </c>
      <c r="E29" s="21" t="n">
        <f aca="false">B29*12</f>
        <v>-96000</v>
      </c>
    </row>
    <row r="30" customFormat="false" ht="15" hidden="false" customHeight="false" outlineLevel="0" collapsed="false">
      <c r="A30" s="39" t="s">
        <v>540</v>
      </c>
      <c r="B30" s="28" t="n">
        <f aca="false">-A_INPUT!$B$87</f>
        <v>-45583.3333333333</v>
      </c>
      <c r="D30" s="67" t="n">
        <f aca="false">IFERROR(B30/C_CALC!$B$43,0)</f>
        <v>-0.221675555075539</v>
      </c>
      <c r="E30" s="28" t="n">
        <f aca="false">B30*12</f>
        <v>-547000</v>
      </c>
    </row>
    <row r="31" customFormat="false" ht="15" hidden="false" customHeight="false" outlineLevel="0" collapsed="false">
      <c r="A31" s="39" t="s">
        <v>474</v>
      </c>
      <c r="B31" s="28" t="n">
        <f aca="false">C_CALC!$B$78</f>
        <v>101194.894037615</v>
      </c>
      <c r="D31" s="67" t="n">
        <f aca="false">IFERROR(B31/C_CALC!$B$43,0)</f>
        <v>0.492119216963774</v>
      </c>
      <c r="E31" s="28" t="n">
        <f aca="false">B31*12</f>
        <v>1214338.72845138</v>
      </c>
    </row>
    <row r="32" customFormat="false" ht="15" hidden="false" customHeight="false" outlineLevel="0" collapsed="false">
      <c r="A32" s="13" t="s">
        <v>475</v>
      </c>
      <c r="B32" s="21" t="n">
        <f aca="false">-C_CALC!$B$79</f>
        <v>-15016.875</v>
      </c>
      <c r="D32" s="20" t="n">
        <f aca="false">IFERROR(B32/C_CALC!$B$43,0)</f>
        <v>-0.0730283166608773</v>
      </c>
      <c r="E32" s="21" t="n">
        <f aca="false">B32*12</f>
        <v>-180202.5</v>
      </c>
    </row>
    <row r="33" customFormat="false" ht="15" hidden="false" customHeight="false" outlineLevel="0" collapsed="false">
      <c r="A33" s="13" t="s">
        <v>541</v>
      </c>
      <c r="B33" s="21" t="n">
        <f aca="false">-C_CALC!$B$81</f>
        <v>-0</v>
      </c>
      <c r="D33" s="20" t="n">
        <f aca="false">IFERROR(B33/C_CALC!$B$43,0)</f>
        <v>-0</v>
      </c>
      <c r="E33" s="21" t="n">
        <f aca="false">B33*12</f>
        <v>-0</v>
      </c>
    </row>
    <row r="34" customFormat="false" ht="15" hidden="false" customHeight="false" outlineLevel="0" collapsed="false">
      <c r="A34" s="13" t="s">
        <v>479</v>
      </c>
      <c r="B34" s="21" t="n">
        <f aca="false">-C_CALC!$B$83</f>
        <v>-17235.603807523</v>
      </c>
      <c r="D34" s="20" t="n">
        <f aca="false">IFERROR(B34/C_CALC!$B$43,0)</f>
        <v>-0.0838181800605793</v>
      </c>
      <c r="E34" s="21" t="n">
        <f aca="false">B34*12</f>
        <v>-206827.245690276</v>
      </c>
    </row>
    <row r="35" customFormat="false" ht="15" hidden="false" customHeight="false" outlineLevel="0" collapsed="false">
      <c r="A35" s="39" t="s">
        <v>480</v>
      </c>
      <c r="B35" s="28" t="n">
        <f aca="false">C_CALC!$B$84</f>
        <v>68942.415230092</v>
      </c>
      <c r="D35" s="67" t="n">
        <f aca="false">IFERROR(B35/C_CALC!$B$43,0)</f>
        <v>0.335272720242317</v>
      </c>
      <c r="E35" s="28" t="n">
        <f aca="false">B35*12</f>
        <v>827308.982761104</v>
      </c>
    </row>
    <row r="37" customFormat="false" ht="15" hidden="false" customHeight="false" outlineLevel="0" collapsed="false">
      <c r="A37" s="59" t="s">
        <v>542</v>
      </c>
      <c r="B37" s="60"/>
      <c r="C37" s="60"/>
      <c r="D37" s="60"/>
      <c r="E37" s="60"/>
      <c r="F37" s="60"/>
      <c r="G37" s="60"/>
      <c r="H37" s="60"/>
    </row>
    <row r="38" customFormat="false" ht="15" hidden="false" customHeight="false" outlineLevel="0" collapsed="false">
      <c r="A38" s="24" t="s">
        <v>543</v>
      </c>
      <c r="B38" s="68" t="str">
        <f aca="false">C_CALC!$B$101</f>
        <v>เครื่องไม่พอ — ความต้องการเกินกำลังผลิต ควรอัปแพ็กเกจหรือขึ้นราคา</v>
      </c>
      <c r="C38" s="68"/>
      <c r="D38" s="68"/>
      <c r="E38" s="68"/>
      <c r="F38" s="68"/>
      <c r="G38" s="68"/>
      <c r="H38" s="68"/>
    </row>
    <row r="39" customFormat="false" ht="15" hidden="false" customHeight="false" outlineLevel="0" collapsed="false">
      <c r="A39" s="24" t="s">
        <v>537</v>
      </c>
      <c r="B39" s="68" t="str">
        <f aca="false">C_CALC!$B$102</f>
        <v>OK</v>
      </c>
      <c r="C39" s="68"/>
      <c r="D39" s="68"/>
      <c r="E39" s="68"/>
      <c r="F39" s="68"/>
      <c r="G39" s="68"/>
      <c r="H39" s="68"/>
    </row>
    <row r="40" customFormat="false" ht="15" hidden="false" customHeight="false" outlineLevel="0" collapsed="false">
      <c r="A40" s="24" t="s">
        <v>544</v>
      </c>
      <c r="B40" s="68" t="str">
        <f aca="false">C_CALC!$B$103</f>
        <v>OK</v>
      </c>
      <c r="C40" s="68"/>
      <c r="D40" s="68"/>
      <c r="E40" s="68"/>
      <c r="F40" s="68"/>
      <c r="G40" s="68"/>
      <c r="H40" s="68"/>
    </row>
    <row r="41" customFormat="false" ht="15" hidden="false" customHeight="false" outlineLevel="0" collapsed="false">
      <c r="A41" s="24" t="s">
        <v>545</v>
      </c>
      <c r="B41" s="68" t="str">
        <f aca="false">C_CALC!$B$104</f>
        <v>ดี: คืนทุนภายใน 24 เดือน</v>
      </c>
      <c r="C41" s="68"/>
      <c r="D41" s="68"/>
      <c r="E41" s="68"/>
      <c r="F41" s="68"/>
      <c r="G41" s="68"/>
      <c r="H41" s="68"/>
    </row>
    <row r="42" customFormat="false" ht="15" hidden="false" customHeight="false" outlineLevel="0" collapsed="false">
      <c r="A42" s="24" t="s">
        <v>546</v>
      </c>
      <c r="B42" s="68" t="str">
        <f aca="false">C_CALC!$B$105</f>
        <v>OK</v>
      </c>
      <c r="C42" s="68"/>
      <c r="D42" s="68"/>
      <c r="E42" s="68"/>
      <c r="F42" s="68"/>
      <c r="G42" s="68"/>
      <c r="H42" s="68"/>
    </row>
    <row r="43" customFormat="false" ht="15" hidden="false" customHeight="false" outlineLevel="0" collapsed="false">
      <c r="A43" s="24" t="s">
        <v>547</v>
      </c>
      <c r="B43" s="68" t="str">
        <f aca="false">C_CALC!$B$106</f>
        <v>เครื่องจะครบ 30,000 รอบก่อนตัดค่าเสื่อมหมด — ตั้งงบเปลี่ยนเครื่องเพิ่ม</v>
      </c>
      <c r="C43" s="68"/>
      <c r="D43" s="68"/>
      <c r="E43" s="68"/>
      <c r="F43" s="68"/>
      <c r="G43" s="68"/>
      <c r="H43" s="68"/>
    </row>
    <row r="44" customFormat="false" ht="15" hidden="false" customHeight="false" outlineLevel="0" collapsed="false">
      <c r="A44" s="24" t="s">
        <v>548</v>
      </c>
      <c r="B44" s="68" t="str">
        <f aca="false">C_CALC!$B$107</f>
        <v>ยอดสแกนสูง — ค่าธรรมเนียม 3% แพงกว่าค่าบริการระบบแบบรายเดือน ลองเทียบ F_SERVICE</v>
      </c>
      <c r="C44" s="68"/>
      <c r="D44" s="68"/>
      <c r="E44" s="68"/>
      <c r="F44" s="68"/>
      <c r="G44" s="68"/>
      <c r="H44" s="68"/>
    </row>
  </sheetData>
  <mergeCells count="9">
    <mergeCell ref="A1:H1"/>
    <mergeCell ref="A2:H2"/>
    <mergeCell ref="B38:H38"/>
    <mergeCell ref="B39:H39"/>
    <mergeCell ref="B40:H40"/>
    <mergeCell ref="B41:H41"/>
    <mergeCell ref="B42:H42"/>
    <mergeCell ref="B43:H43"/>
    <mergeCell ref="B44:H44"/>
  </mergeCells>
  <conditionalFormatting sqref="A38:H44">
    <cfRule type="expression" priority="2" aboveAverage="0" equalAverage="0" bottom="0" percent="0" rank="0" text="" dxfId="0">
      <formula>AND($B38&lt;&gt;"",ISERROR(SEARCH("OK",$B38)),ISERROR(SEARCH("ดี",$B38)))</formula>
    </cfRule>
    <cfRule type="expression" priority="3" aboveAverage="0" equalAverage="0" bottom="0" percent="0" rank="0" text="" dxfId="1">
      <formula>OR(NOT(ISERROR(SEARCH("OK",$B38))),NOT(ISERROR(SEARCH("ดี",$B38))))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true"/>
  </sheetPr>
  <dimension ref="A1:X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21" min="3" style="0" width="15"/>
    <col collapsed="false" customWidth="true" hidden="false" outlineLevel="0" max="24" min="23" style="0" width="12"/>
  </cols>
  <sheetData>
    <row r="1" customFormat="false" ht="25.5" hidden="false" customHeight="true" outlineLevel="0" collapsed="false">
      <c r="A1" s="30" t="s">
        <v>549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</row>
    <row r="3" customFormat="false" ht="22.35" hidden="false" customHeight="false" outlineLevel="0" collapsed="false">
      <c r="A3" s="39" t="s">
        <v>550</v>
      </c>
      <c r="B3" s="69" t="n">
        <f aca="false">U67</f>
        <v>3308196.38324531</v>
      </c>
      <c r="C3" s="39" t="s">
        <v>551</v>
      </c>
      <c r="D3" s="70" t="n">
        <f aca="false">IFERROR((1+IRR(P7:P67,0.01))^12-1,"N/A")</f>
        <v>1.09706665970718</v>
      </c>
      <c r="E3" s="39" t="s">
        <v>552</v>
      </c>
      <c r="F3" s="70" t="n">
        <f aca="false">IFERROR((1+IRR(R7:R67,0.01))^12-1,"N/A")</f>
        <v>1.09706665970718</v>
      </c>
      <c r="G3" s="61" t="s">
        <v>553</v>
      </c>
      <c r="H3" s="71" t="n">
        <f aca="false">IF(SUM(W7:W67)=0,"เกิน 60 ด.",SUM(W7:W67))</f>
        <v>16</v>
      </c>
      <c r="I3" s="61" t="s">
        <v>554</v>
      </c>
      <c r="J3" s="71" t="n">
        <f aca="false">IF(SUM(X7:X67)=0,"เกิน 60 ด.",SUM(X7:X67))</f>
        <v>18</v>
      </c>
      <c r="K3" s="39" t="s">
        <v>555</v>
      </c>
      <c r="L3" s="69" t="n">
        <f aca="false">SUM(N7:N67)</f>
        <v>4756645.15581297</v>
      </c>
    </row>
    <row r="4" customFormat="false" ht="15" hidden="false" customHeight="false" outlineLevel="0" collapsed="false">
      <c r="A4" s="35" t="s">
        <v>556</v>
      </c>
    </row>
    <row r="6" customFormat="false" ht="33.75" hidden="false" customHeight="true" outlineLevel="0" collapsed="false">
      <c r="A6" s="32" t="s">
        <v>487</v>
      </c>
      <c r="B6" s="32" t="s">
        <v>272</v>
      </c>
      <c r="C6" s="32" t="s">
        <v>557</v>
      </c>
      <c r="D6" s="32" t="s">
        <v>558</v>
      </c>
      <c r="E6" s="32" t="s">
        <v>559</v>
      </c>
      <c r="F6" s="32" t="s">
        <v>474</v>
      </c>
      <c r="G6" s="32" t="s">
        <v>560</v>
      </c>
      <c r="H6" s="32" t="s">
        <v>561</v>
      </c>
      <c r="I6" s="32" t="s">
        <v>562</v>
      </c>
      <c r="J6" s="32" t="s">
        <v>563</v>
      </c>
      <c r="K6" s="32" t="s">
        <v>564</v>
      </c>
      <c r="L6" s="32" t="s">
        <v>565</v>
      </c>
      <c r="M6" s="32" t="s">
        <v>566</v>
      </c>
      <c r="N6" s="32" t="s">
        <v>567</v>
      </c>
      <c r="O6" s="32" t="s">
        <v>568</v>
      </c>
      <c r="P6" s="32" t="s">
        <v>569</v>
      </c>
      <c r="Q6" s="32" t="s">
        <v>570</v>
      </c>
      <c r="R6" s="32" t="s">
        <v>571</v>
      </c>
      <c r="S6" s="32" t="s">
        <v>572</v>
      </c>
      <c r="T6" s="32" t="s">
        <v>573</v>
      </c>
      <c r="U6" s="32" t="s">
        <v>574</v>
      </c>
      <c r="W6" s="72" t="s">
        <v>575</v>
      </c>
      <c r="X6" s="72" t="s">
        <v>576</v>
      </c>
    </row>
    <row r="7" customFormat="false" ht="15" hidden="false" customHeight="false" outlineLevel="0" collapsed="false">
      <c r="A7" s="73" t="n">
        <v>0</v>
      </c>
      <c r="B7" s="73" t="n">
        <v>0</v>
      </c>
      <c r="C7" s="45" t="n">
        <v>0</v>
      </c>
      <c r="D7" s="45" t="n">
        <v>0</v>
      </c>
      <c r="E7" s="45" t="n">
        <v>0</v>
      </c>
      <c r="F7" s="45" t="n">
        <v>0</v>
      </c>
      <c r="G7" s="45" t="n">
        <v>0</v>
      </c>
      <c r="H7" s="45" t="n">
        <f aca="false">C_CALC!$B$70</f>
        <v>0</v>
      </c>
      <c r="I7" s="45" t="n">
        <v>0</v>
      </c>
      <c r="J7" s="45" t="n">
        <v>0</v>
      </c>
      <c r="K7" s="45" t="n">
        <f aca="false">C_CALC!$B$70</f>
        <v>0</v>
      </c>
      <c r="L7" s="45" t="n">
        <v>0</v>
      </c>
      <c r="M7" s="45" t="n">
        <v>0</v>
      </c>
      <c r="N7" s="45" t="n">
        <v>0</v>
      </c>
      <c r="O7" s="45" t="n">
        <v>0</v>
      </c>
      <c r="P7" s="74" t="n">
        <f aca="false">-C_CALC!$B$69</f>
        <v>-1362000</v>
      </c>
      <c r="Q7" s="45" t="n">
        <f aca="false">P7</f>
        <v>-1362000</v>
      </c>
      <c r="R7" s="74" t="n">
        <f aca="false">-C_CALC!$B$71</f>
        <v>-1362000</v>
      </c>
      <c r="S7" s="75" t="n">
        <v>1</v>
      </c>
      <c r="T7" s="45" t="n">
        <f aca="false">P7*S7</f>
        <v>-1362000</v>
      </c>
      <c r="U7" s="45" t="n">
        <f aca="false">T7</f>
        <v>-1362000</v>
      </c>
    </row>
    <row r="8" customFormat="false" ht="15" hidden="false" customHeight="false" outlineLevel="0" collapsed="false">
      <c r="A8" s="73" t="n">
        <v>1</v>
      </c>
      <c r="B8" s="73" t="n">
        <f aca="false">ROUNDUP(A8/12,0)</f>
        <v>1</v>
      </c>
      <c r="C8" s="45" t="n">
        <f aca="false">IF(A8&gt;A_INPUT!$B$112*12,0,C_CALC!$B$43*(1+A_INPUT!$B$111)^(B8-1))</f>
        <v>205630.852340936</v>
      </c>
      <c r="D8" s="45" t="n">
        <f aca="false">-C8*C_CALC!$B$57</f>
        <v>-58852.624969988</v>
      </c>
      <c r="E8" s="45" t="n">
        <f aca="false">IF(A8&gt;A_INPUT!$B$112*12,0,-((A_INPUT!$B$87-A_INPUT!$B$77)-IF(B8=1,F_SERVICE!$B$32,0)+A_INPUT!$B$77*(1+A_INPUT!$B$78)^(B8-1)))</f>
        <v>-45000</v>
      </c>
      <c r="F8" s="45" t="n">
        <f aca="false">C8+D8+E8</f>
        <v>101778.227370948</v>
      </c>
      <c r="G8" s="45" t="n">
        <f aca="false">IF(A8&gt;A_INPUT!$B$112*12,0,IF(A8&lt;=A_INPUT!$B$107*12,IFERROR(C_CALC!$B$66/A_INPUT!$B$107/12,0),0)+IF(A8&lt;=A_INPUT!$B$108*12,IFERROR(C_CALC!$B$67/A_INPUT!$B$108/12,0),0))</f>
        <v>15016.875</v>
      </c>
      <c r="H8" s="45" t="n">
        <f aca="false">K7</f>
        <v>0</v>
      </c>
      <c r="I8" s="45" t="n">
        <f aca="false">H8*A_INPUT!$B$105/12</f>
        <v>0</v>
      </c>
      <c r="J8" s="45" t="n">
        <f aca="false">IF(H8&lt;=0,0,MIN(H8,C_CALC!$B$72-I8))</f>
        <v>0</v>
      </c>
      <c r="K8" s="45" t="n">
        <f aca="false">MAX(0,H8-J8)</f>
        <v>0</v>
      </c>
      <c r="L8" s="45" t="n">
        <f aca="false">F8-G8-I8</f>
        <v>86761.3523709484</v>
      </c>
      <c r="M8" s="45" t="n">
        <f aca="false">MAX(0,L8)*A_INPUT!$B$109</f>
        <v>17352.2704741897</v>
      </c>
      <c r="N8" s="45" t="n">
        <f aca="false">L8-M8</f>
        <v>69409.0818967587</v>
      </c>
      <c r="O8" s="45" t="n">
        <f aca="false">IF(A8=A_INPUT!$B$112*12,MAX(0,C_CALC!$B$66*(1-A8/12/A_INPUT!$B$107))+MAX(0,C_CALC!$B$67*(1-A8/12/A_INPUT!$B$108))+C_CALC!$B$68+A_INPUT!$B$50,0)</f>
        <v>0</v>
      </c>
      <c r="P8" s="45" t="n">
        <f aca="false">F8-M8+O8</f>
        <v>84425.9568967587</v>
      </c>
      <c r="Q8" s="45" t="n">
        <f aca="false">Q7+P8</f>
        <v>-1277574.04310324</v>
      </c>
      <c r="R8" s="45" t="n">
        <f aca="false">N8+G8-J8+O8</f>
        <v>84425.9568967587</v>
      </c>
      <c r="S8" s="75" t="n">
        <f aca="false">1/(1+A_INPUT!$B$110/12)^A8</f>
        <v>0.991735537190083</v>
      </c>
      <c r="T8" s="45" t="n">
        <f aca="false">P8*S8</f>
        <v>83728.2217157937</v>
      </c>
      <c r="U8" s="45" t="n">
        <f aca="false">U7+T8</f>
        <v>-1278271.77828421</v>
      </c>
      <c r="W8" s="76" t="n">
        <f aca="false">IF(AND(Q8&gt;=0,Q7&lt;0),A8,0)</f>
        <v>0</v>
      </c>
      <c r="X8" s="76" t="n">
        <f aca="false">IF(AND(U8&gt;=0,U7&lt;0),A8,0)</f>
        <v>0</v>
      </c>
    </row>
    <row r="9" customFormat="false" ht="15" hidden="false" customHeight="false" outlineLevel="0" collapsed="false">
      <c r="A9" s="73" t="n">
        <v>2</v>
      </c>
      <c r="B9" s="73" t="n">
        <f aca="false">ROUNDUP(A9/12,0)</f>
        <v>1</v>
      </c>
      <c r="C9" s="45" t="n">
        <f aca="false">IF(A9&gt;A_INPUT!$B$112*12,0,C_CALC!$B$43*(1+A_INPUT!$B$111)^(B9-1))</f>
        <v>205630.852340936</v>
      </c>
      <c r="D9" s="45" t="n">
        <f aca="false">-C9*C_CALC!$B$57</f>
        <v>-58852.624969988</v>
      </c>
      <c r="E9" s="45" t="n">
        <f aca="false">IF(A9&gt;A_INPUT!$B$112*12,0,-((A_INPUT!$B$87-A_INPUT!$B$77)-IF(B9=1,F_SERVICE!$B$32,0)+A_INPUT!$B$77*(1+A_INPUT!$B$78)^(B9-1)))</f>
        <v>-45000</v>
      </c>
      <c r="F9" s="45" t="n">
        <f aca="false">C9+D9+E9</f>
        <v>101778.227370948</v>
      </c>
      <c r="G9" s="45" t="n">
        <f aca="false">IF(A9&gt;A_INPUT!$B$112*12,0,IF(A9&lt;=A_INPUT!$B$107*12,IFERROR(C_CALC!$B$66/A_INPUT!$B$107/12,0),0)+IF(A9&lt;=A_INPUT!$B$108*12,IFERROR(C_CALC!$B$67/A_INPUT!$B$108/12,0),0))</f>
        <v>15016.875</v>
      </c>
      <c r="H9" s="45" t="n">
        <f aca="false">K8</f>
        <v>0</v>
      </c>
      <c r="I9" s="45" t="n">
        <f aca="false">H9*A_INPUT!$B$105/12</f>
        <v>0</v>
      </c>
      <c r="J9" s="45" t="n">
        <f aca="false">IF(H9&lt;=0,0,MIN(H9,C_CALC!$B$72-I9))</f>
        <v>0</v>
      </c>
      <c r="K9" s="45" t="n">
        <f aca="false">MAX(0,H9-J9)</f>
        <v>0</v>
      </c>
      <c r="L9" s="45" t="n">
        <f aca="false">F9-G9-I9</f>
        <v>86761.3523709484</v>
      </c>
      <c r="M9" s="45" t="n">
        <f aca="false">MAX(0,L9)*A_INPUT!$B$109</f>
        <v>17352.2704741897</v>
      </c>
      <c r="N9" s="45" t="n">
        <f aca="false">L9-M9</f>
        <v>69409.0818967587</v>
      </c>
      <c r="O9" s="45" t="n">
        <f aca="false">IF(A9=A_INPUT!$B$112*12,MAX(0,C_CALC!$B$66*(1-A9/12/A_INPUT!$B$107))+MAX(0,C_CALC!$B$67*(1-A9/12/A_INPUT!$B$108))+C_CALC!$B$68+A_INPUT!$B$50,0)</f>
        <v>0</v>
      </c>
      <c r="P9" s="45" t="n">
        <f aca="false">F9-M9+O9</f>
        <v>84425.9568967587</v>
      </c>
      <c r="Q9" s="45" t="n">
        <f aca="false">Q8+P9</f>
        <v>-1193148.08620648</v>
      </c>
      <c r="R9" s="45" t="n">
        <f aca="false">N9+G9-J9+O9</f>
        <v>84425.9568967587</v>
      </c>
      <c r="S9" s="75" t="n">
        <f aca="false">1/(1+A_INPUT!$B$110/12)^A9</f>
        <v>0.983539375725702</v>
      </c>
      <c r="T9" s="45" t="n">
        <f aca="false">P9*S9</f>
        <v>83036.2529412831</v>
      </c>
      <c r="U9" s="45" t="n">
        <f aca="false">U8+T9</f>
        <v>-1195235.52534292</v>
      </c>
      <c r="W9" s="76" t="n">
        <f aca="false">IF(AND(Q9&gt;=0,Q8&lt;0),A9,0)</f>
        <v>0</v>
      </c>
      <c r="X9" s="76" t="n">
        <f aca="false">IF(AND(U9&gt;=0,U8&lt;0),A9,0)</f>
        <v>0</v>
      </c>
    </row>
    <row r="10" customFormat="false" ht="15" hidden="false" customHeight="false" outlineLevel="0" collapsed="false">
      <c r="A10" s="73" t="n">
        <v>3</v>
      </c>
      <c r="B10" s="73" t="n">
        <f aca="false">ROUNDUP(A10/12,0)</f>
        <v>1</v>
      </c>
      <c r="C10" s="45" t="n">
        <f aca="false">IF(A10&gt;A_INPUT!$B$112*12,0,C_CALC!$B$43*(1+A_INPUT!$B$111)^(B10-1))</f>
        <v>205630.852340936</v>
      </c>
      <c r="D10" s="45" t="n">
        <f aca="false">-C10*C_CALC!$B$57</f>
        <v>-58852.624969988</v>
      </c>
      <c r="E10" s="45" t="n">
        <f aca="false">IF(A10&gt;A_INPUT!$B$112*12,0,-((A_INPUT!$B$87-A_INPUT!$B$77)-IF(B10=1,F_SERVICE!$B$32,0)+A_INPUT!$B$77*(1+A_INPUT!$B$78)^(B10-1)))</f>
        <v>-45000</v>
      </c>
      <c r="F10" s="45" t="n">
        <f aca="false">C10+D10+E10</f>
        <v>101778.227370948</v>
      </c>
      <c r="G10" s="45" t="n">
        <f aca="false">IF(A10&gt;A_INPUT!$B$112*12,0,IF(A10&lt;=A_INPUT!$B$107*12,IFERROR(C_CALC!$B$66/A_INPUT!$B$107/12,0),0)+IF(A10&lt;=A_INPUT!$B$108*12,IFERROR(C_CALC!$B$67/A_INPUT!$B$108/12,0),0))</f>
        <v>15016.875</v>
      </c>
      <c r="H10" s="45" t="n">
        <f aca="false">K9</f>
        <v>0</v>
      </c>
      <c r="I10" s="45" t="n">
        <f aca="false">H10*A_INPUT!$B$105/12</f>
        <v>0</v>
      </c>
      <c r="J10" s="45" t="n">
        <f aca="false">IF(H10&lt;=0,0,MIN(H10,C_CALC!$B$72-I10))</f>
        <v>0</v>
      </c>
      <c r="K10" s="45" t="n">
        <f aca="false">MAX(0,H10-J10)</f>
        <v>0</v>
      </c>
      <c r="L10" s="45" t="n">
        <f aca="false">F10-G10-I10</f>
        <v>86761.3523709484</v>
      </c>
      <c r="M10" s="45" t="n">
        <f aca="false">MAX(0,L10)*A_INPUT!$B$109</f>
        <v>17352.2704741897</v>
      </c>
      <c r="N10" s="45" t="n">
        <f aca="false">L10-M10</f>
        <v>69409.0818967587</v>
      </c>
      <c r="O10" s="45" t="n">
        <f aca="false">IF(A10=A_INPUT!$B$112*12,MAX(0,C_CALC!$B$66*(1-A10/12/A_INPUT!$B$107))+MAX(0,C_CALC!$B$67*(1-A10/12/A_INPUT!$B$108))+C_CALC!$B$68+A_INPUT!$B$50,0)</f>
        <v>0</v>
      </c>
      <c r="P10" s="45" t="n">
        <f aca="false">F10-M10+O10</f>
        <v>84425.9568967587</v>
      </c>
      <c r="Q10" s="45" t="n">
        <f aca="false">Q9+P10</f>
        <v>-1108722.12930972</v>
      </c>
      <c r="R10" s="45" t="n">
        <f aca="false">N10+G10-J10+O10</f>
        <v>84425.9568967587</v>
      </c>
      <c r="S10" s="75" t="n">
        <f aca="false">1/(1+A_INPUT!$B$110/12)^A10</f>
        <v>0.975410951132928</v>
      </c>
      <c r="T10" s="45" t="n">
        <f aca="false">P10*S10</f>
        <v>82350.0029169749</v>
      </c>
      <c r="U10" s="45" t="n">
        <f aca="false">U9+T10</f>
        <v>-1112885.52242595</v>
      </c>
      <c r="W10" s="76" t="n">
        <f aca="false">IF(AND(Q10&gt;=0,Q9&lt;0),A10,0)</f>
        <v>0</v>
      </c>
      <c r="X10" s="76" t="n">
        <f aca="false">IF(AND(U10&gt;=0,U9&lt;0),A10,0)</f>
        <v>0</v>
      </c>
    </row>
    <row r="11" customFormat="false" ht="15" hidden="false" customHeight="false" outlineLevel="0" collapsed="false">
      <c r="A11" s="73" t="n">
        <v>4</v>
      </c>
      <c r="B11" s="73" t="n">
        <f aca="false">ROUNDUP(A11/12,0)</f>
        <v>1</v>
      </c>
      <c r="C11" s="45" t="n">
        <f aca="false">IF(A11&gt;A_INPUT!$B$112*12,0,C_CALC!$B$43*(1+A_INPUT!$B$111)^(B11-1))</f>
        <v>205630.852340936</v>
      </c>
      <c r="D11" s="45" t="n">
        <f aca="false">-C11*C_CALC!$B$57</f>
        <v>-58852.624969988</v>
      </c>
      <c r="E11" s="45" t="n">
        <f aca="false">IF(A11&gt;A_INPUT!$B$112*12,0,-((A_INPUT!$B$87-A_INPUT!$B$77)-IF(B11=1,F_SERVICE!$B$32,0)+A_INPUT!$B$77*(1+A_INPUT!$B$78)^(B11-1)))</f>
        <v>-45000</v>
      </c>
      <c r="F11" s="45" t="n">
        <f aca="false">C11+D11+E11</f>
        <v>101778.227370948</v>
      </c>
      <c r="G11" s="45" t="n">
        <f aca="false">IF(A11&gt;A_INPUT!$B$112*12,0,IF(A11&lt;=A_INPUT!$B$107*12,IFERROR(C_CALC!$B$66/A_INPUT!$B$107/12,0),0)+IF(A11&lt;=A_INPUT!$B$108*12,IFERROR(C_CALC!$B$67/A_INPUT!$B$108/12,0),0))</f>
        <v>15016.875</v>
      </c>
      <c r="H11" s="45" t="n">
        <f aca="false">K10</f>
        <v>0</v>
      </c>
      <c r="I11" s="45" t="n">
        <f aca="false">H11*A_INPUT!$B$105/12</f>
        <v>0</v>
      </c>
      <c r="J11" s="45" t="n">
        <f aca="false">IF(H11&lt;=0,0,MIN(H11,C_CALC!$B$72-I11))</f>
        <v>0</v>
      </c>
      <c r="K11" s="45" t="n">
        <f aca="false">MAX(0,H11-J11)</f>
        <v>0</v>
      </c>
      <c r="L11" s="45" t="n">
        <f aca="false">F11-G11-I11</f>
        <v>86761.3523709484</v>
      </c>
      <c r="M11" s="45" t="n">
        <f aca="false">MAX(0,L11)*A_INPUT!$B$109</f>
        <v>17352.2704741897</v>
      </c>
      <c r="N11" s="45" t="n">
        <f aca="false">L11-M11</f>
        <v>69409.0818967587</v>
      </c>
      <c r="O11" s="45" t="n">
        <f aca="false">IF(A11=A_INPUT!$B$112*12,MAX(0,C_CALC!$B$66*(1-A11/12/A_INPUT!$B$107))+MAX(0,C_CALC!$B$67*(1-A11/12/A_INPUT!$B$108))+C_CALC!$B$68+A_INPUT!$B$50,0)</f>
        <v>0</v>
      </c>
      <c r="P11" s="45" t="n">
        <f aca="false">F11-M11+O11</f>
        <v>84425.9568967587</v>
      </c>
      <c r="Q11" s="45" t="n">
        <f aca="false">Q10+P11</f>
        <v>-1024296.17241297</v>
      </c>
      <c r="R11" s="45" t="n">
        <f aca="false">N11+G11-J11+O11</f>
        <v>84425.9568967587</v>
      </c>
      <c r="S11" s="75" t="n">
        <f aca="false">1/(1+A_INPUT!$B$110/12)^A11</f>
        <v>0.967349703602903</v>
      </c>
      <c r="T11" s="45" t="n">
        <f aca="false">P11*S11</f>
        <v>81669.424380471</v>
      </c>
      <c r="U11" s="45" t="n">
        <f aca="false">U10+T11</f>
        <v>-1031216.09804548</v>
      </c>
      <c r="W11" s="76" t="n">
        <f aca="false">IF(AND(Q11&gt;=0,Q10&lt;0),A11,0)</f>
        <v>0</v>
      </c>
      <c r="X11" s="76" t="n">
        <f aca="false">IF(AND(U11&gt;=0,U10&lt;0),A11,0)</f>
        <v>0</v>
      </c>
    </row>
    <row r="12" customFormat="false" ht="15" hidden="false" customHeight="false" outlineLevel="0" collapsed="false">
      <c r="A12" s="73" t="n">
        <v>5</v>
      </c>
      <c r="B12" s="73" t="n">
        <f aca="false">ROUNDUP(A12/12,0)</f>
        <v>1</v>
      </c>
      <c r="C12" s="45" t="n">
        <f aca="false">IF(A12&gt;A_INPUT!$B$112*12,0,C_CALC!$B$43*(1+A_INPUT!$B$111)^(B12-1))</f>
        <v>205630.852340936</v>
      </c>
      <c r="D12" s="45" t="n">
        <f aca="false">-C12*C_CALC!$B$57</f>
        <v>-58852.624969988</v>
      </c>
      <c r="E12" s="45" t="n">
        <f aca="false">IF(A12&gt;A_INPUT!$B$112*12,0,-((A_INPUT!$B$87-A_INPUT!$B$77)-IF(B12=1,F_SERVICE!$B$32,0)+A_INPUT!$B$77*(1+A_INPUT!$B$78)^(B12-1)))</f>
        <v>-45000</v>
      </c>
      <c r="F12" s="45" t="n">
        <f aca="false">C12+D12+E12</f>
        <v>101778.227370948</v>
      </c>
      <c r="G12" s="45" t="n">
        <f aca="false">IF(A12&gt;A_INPUT!$B$112*12,0,IF(A12&lt;=A_INPUT!$B$107*12,IFERROR(C_CALC!$B$66/A_INPUT!$B$107/12,0),0)+IF(A12&lt;=A_INPUT!$B$108*12,IFERROR(C_CALC!$B$67/A_INPUT!$B$108/12,0),0))</f>
        <v>15016.875</v>
      </c>
      <c r="H12" s="45" t="n">
        <f aca="false">K11</f>
        <v>0</v>
      </c>
      <c r="I12" s="45" t="n">
        <f aca="false">H12*A_INPUT!$B$105/12</f>
        <v>0</v>
      </c>
      <c r="J12" s="45" t="n">
        <f aca="false">IF(H12&lt;=0,0,MIN(H12,C_CALC!$B$72-I12))</f>
        <v>0</v>
      </c>
      <c r="K12" s="45" t="n">
        <f aca="false">MAX(0,H12-J12)</f>
        <v>0</v>
      </c>
      <c r="L12" s="45" t="n">
        <f aca="false">F12-G12-I12</f>
        <v>86761.3523709484</v>
      </c>
      <c r="M12" s="45" t="n">
        <f aca="false">MAX(0,L12)*A_INPUT!$B$109</f>
        <v>17352.2704741897</v>
      </c>
      <c r="N12" s="45" t="n">
        <f aca="false">L12-M12</f>
        <v>69409.0818967587</v>
      </c>
      <c r="O12" s="45" t="n">
        <f aca="false">IF(A12=A_INPUT!$B$112*12,MAX(0,C_CALC!$B$66*(1-A12/12/A_INPUT!$B$107))+MAX(0,C_CALC!$B$67*(1-A12/12/A_INPUT!$B$108))+C_CALC!$B$68+A_INPUT!$B$50,0)</f>
        <v>0</v>
      </c>
      <c r="P12" s="45" t="n">
        <f aca="false">F12-M12+O12</f>
        <v>84425.9568967587</v>
      </c>
      <c r="Q12" s="45" t="n">
        <f aca="false">Q11+P12</f>
        <v>-939870.215516207</v>
      </c>
      <c r="R12" s="45" t="n">
        <f aca="false">N12+G12-J12+O12</f>
        <v>84425.9568967587</v>
      </c>
      <c r="S12" s="75" t="n">
        <f aca="false">1/(1+A_INPUT!$B$110/12)^A12</f>
        <v>0.959355077953293</v>
      </c>
      <c r="T12" s="45" t="n">
        <f aca="false">P12*S12</f>
        <v>80994.4704599712</v>
      </c>
      <c r="U12" s="45" t="n">
        <f aca="false">U11+T12</f>
        <v>-950221.627585506</v>
      </c>
      <c r="W12" s="76" t="n">
        <f aca="false">IF(AND(Q12&gt;=0,Q11&lt;0),A12,0)</f>
        <v>0</v>
      </c>
      <c r="X12" s="76" t="n">
        <f aca="false">IF(AND(U12&gt;=0,U11&lt;0),A12,0)</f>
        <v>0</v>
      </c>
    </row>
    <row r="13" customFormat="false" ht="15" hidden="false" customHeight="false" outlineLevel="0" collapsed="false">
      <c r="A13" s="73" t="n">
        <v>6</v>
      </c>
      <c r="B13" s="73" t="n">
        <f aca="false">ROUNDUP(A13/12,0)</f>
        <v>1</v>
      </c>
      <c r="C13" s="45" t="n">
        <f aca="false">IF(A13&gt;A_INPUT!$B$112*12,0,C_CALC!$B$43*(1+A_INPUT!$B$111)^(B13-1))</f>
        <v>205630.852340936</v>
      </c>
      <c r="D13" s="45" t="n">
        <f aca="false">-C13*C_CALC!$B$57</f>
        <v>-58852.624969988</v>
      </c>
      <c r="E13" s="45" t="n">
        <f aca="false">IF(A13&gt;A_INPUT!$B$112*12,0,-((A_INPUT!$B$87-A_INPUT!$B$77)-IF(B13=1,F_SERVICE!$B$32,0)+A_INPUT!$B$77*(1+A_INPUT!$B$78)^(B13-1)))</f>
        <v>-45000</v>
      </c>
      <c r="F13" s="45" t="n">
        <f aca="false">C13+D13+E13</f>
        <v>101778.227370948</v>
      </c>
      <c r="G13" s="45" t="n">
        <f aca="false">IF(A13&gt;A_INPUT!$B$112*12,0,IF(A13&lt;=A_INPUT!$B$107*12,IFERROR(C_CALC!$B$66/A_INPUT!$B$107/12,0),0)+IF(A13&lt;=A_INPUT!$B$108*12,IFERROR(C_CALC!$B$67/A_INPUT!$B$108/12,0),0))</f>
        <v>15016.875</v>
      </c>
      <c r="H13" s="45" t="n">
        <f aca="false">K12</f>
        <v>0</v>
      </c>
      <c r="I13" s="45" t="n">
        <f aca="false">H13*A_INPUT!$B$105/12</f>
        <v>0</v>
      </c>
      <c r="J13" s="45" t="n">
        <f aca="false">IF(H13&lt;=0,0,MIN(H13,C_CALC!$B$72-I13))</f>
        <v>0</v>
      </c>
      <c r="K13" s="45" t="n">
        <f aca="false">MAX(0,H13-J13)</f>
        <v>0</v>
      </c>
      <c r="L13" s="45" t="n">
        <f aca="false">F13-G13-I13</f>
        <v>86761.3523709484</v>
      </c>
      <c r="M13" s="45" t="n">
        <f aca="false">MAX(0,L13)*A_INPUT!$B$109</f>
        <v>17352.2704741897</v>
      </c>
      <c r="N13" s="45" t="n">
        <f aca="false">L13-M13</f>
        <v>69409.0818967587</v>
      </c>
      <c r="O13" s="45" t="n">
        <f aca="false">IF(A13=A_INPUT!$B$112*12,MAX(0,C_CALC!$B$66*(1-A13/12/A_INPUT!$B$107))+MAX(0,C_CALC!$B$67*(1-A13/12/A_INPUT!$B$108))+C_CALC!$B$68+A_INPUT!$B$50,0)</f>
        <v>0</v>
      </c>
      <c r="P13" s="45" t="n">
        <f aca="false">F13-M13+O13</f>
        <v>84425.9568967587</v>
      </c>
      <c r="Q13" s="45" t="n">
        <f aca="false">Q12+P13</f>
        <v>-855444.258619448</v>
      </c>
      <c r="R13" s="45" t="n">
        <f aca="false">N13+G13-J13+O13</f>
        <v>84425.9568967587</v>
      </c>
      <c r="S13" s="75" t="n">
        <f aca="false">1/(1+A_INPUT!$B$110/12)^A13</f>
        <v>0.951426523590042</v>
      </c>
      <c r="T13" s="45" t="n">
        <f aca="false">P13*S13</f>
        <v>80325.0946710459</v>
      </c>
      <c r="U13" s="45" t="n">
        <f aca="false">U12+T13</f>
        <v>-869896.53291446</v>
      </c>
      <c r="W13" s="76" t="n">
        <f aca="false">IF(AND(Q13&gt;=0,Q12&lt;0),A13,0)</f>
        <v>0</v>
      </c>
      <c r="X13" s="76" t="n">
        <f aca="false">IF(AND(U13&gt;=0,U12&lt;0),A13,0)</f>
        <v>0</v>
      </c>
    </row>
    <row r="14" customFormat="false" ht="15" hidden="false" customHeight="false" outlineLevel="0" collapsed="false">
      <c r="A14" s="73" t="n">
        <v>7</v>
      </c>
      <c r="B14" s="73" t="n">
        <f aca="false">ROUNDUP(A14/12,0)</f>
        <v>1</v>
      </c>
      <c r="C14" s="45" t="n">
        <f aca="false">IF(A14&gt;A_INPUT!$B$112*12,0,C_CALC!$B$43*(1+A_INPUT!$B$111)^(B14-1))</f>
        <v>205630.852340936</v>
      </c>
      <c r="D14" s="45" t="n">
        <f aca="false">-C14*C_CALC!$B$57</f>
        <v>-58852.624969988</v>
      </c>
      <c r="E14" s="45" t="n">
        <f aca="false">IF(A14&gt;A_INPUT!$B$112*12,0,-((A_INPUT!$B$87-A_INPUT!$B$77)-IF(B14=1,F_SERVICE!$B$32,0)+A_INPUT!$B$77*(1+A_INPUT!$B$78)^(B14-1)))</f>
        <v>-45000</v>
      </c>
      <c r="F14" s="45" t="n">
        <f aca="false">C14+D14+E14</f>
        <v>101778.227370948</v>
      </c>
      <c r="G14" s="45" t="n">
        <f aca="false">IF(A14&gt;A_INPUT!$B$112*12,0,IF(A14&lt;=A_INPUT!$B$107*12,IFERROR(C_CALC!$B$66/A_INPUT!$B$107/12,0),0)+IF(A14&lt;=A_INPUT!$B$108*12,IFERROR(C_CALC!$B$67/A_INPUT!$B$108/12,0),0))</f>
        <v>15016.875</v>
      </c>
      <c r="H14" s="45" t="n">
        <f aca="false">K13</f>
        <v>0</v>
      </c>
      <c r="I14" s="45" t="n">
        <f aca="false">H14*A_INPUT!$B$105/12</f>
        <v>0</v>
      </c>
      <c r="J14" s="45" t="n">
        <f aca="false">IF(H14&lt;=0,0,MIN(H14,C_CALC!$B$72-I14))</f>
        <v>0</v>
      </c>
      <c r="K14" s="45" t="n">
        <f aca="false">MAX(0,H14-J14)</f>
        <v>0</v>
      </c>
      <c r="L14" s="45" t="n">
        <f aca="false">F14-G14-I14</f>
        <v>86761.3523709484</v>
      </c>
      <c r="M14" s="45" t="n">
        <f aca="false">MAX(0,L14)*A_INPUT!$B$109</f>
        <v>17352.2704741897</v>
      </c>
      <c r="N14" s="45" t="n">
        <f aca="false">L14-M14</f>
        <v>69409.0818967587</v>
      </c>
      <c r="O14" s="45" t="n">
        <f aca="false">IF(A14=A_INPUT!$B$112*12,MAX(0,C_CALC!$B$66*(1-A14/12/A_INPUT!$B$107))+MAX(0,C_CALC!$B$67*(1-A14/12/A_INPUT!$B$108))+C_CALC!$B$68+A_INPUT!$B$50,0)</f>
        <v>0</v>
      </c>
      <c r="P14" s="45" t="n">
        <f aca="false">F14-M14+O14</f>
        <v>84425.9568967587</v>
      </c>
      <c r="Q14" s="45" t="n">
        <f aca="false">Q13+P14</f>
        <v>-771018.30172269</v>
      </c>
      <c r="R14" s="45" t="n">
        <f aca="false">N14+G14-J14+O14</f>
        <v>84425.9568967587</v>
      </c>
      <c r="S14" s="75" t="n">
        <f aca="false">1/(1+A_INPUT!$B$110/12)^A14</f>
        <v>0.943563494469463</v>
      </c>
      <c r="T14" s="45" t="n">
        <f aca="false">P14*S14</f>
        <v>79661.2509134339</v>
      </c>
      <c r="U14" s="45" t="n">
        <f aca="false">U13+T14</f>
        <v>-790235.282001026</v>
      </c>
      <c r="W14" s="76" t="n">
        <f aca="false">IF(AND(Q14&gt;=0,Q13&lt;0),A14,0)</f>
        <v>0</v>
      </c>
      <c r="X14" s="76" t="n">
        <f aca="false">IF(AND(U14&gt;=0,U13&lt;0),A14,0)</f>
        <v>0</v>
      </c>
    </row>
    <row r="15" customFormat="false" ht="15" hidden="false" customHeight="false" outlineLevel="0" collapsed="false">
      <c r="A15" s="73" t="n">
        <v>8</v>
      </c>
      <c r="B15" s="73" t="n">
        <f aca="false">ROUNDUP(A15/12,0)</f>
        <v>1</v>
      </c>
      <c r="C15" s="45" t="n">
        <f aca="false">IF(A15&gt;A_INPUT!$B$112*12,0,C_CALC!$B$43*(1+A_INPUT!$B$111)^(B15-1))</f>
        <v>205630.852340936</v>
      </c>
      <c r="D15" s="45" t="n">
        <f aca="false">-C15*C_CALC!$B$57</f>
        <v>-58852.624969988</v>
      </c>
      <c r="E15" s="45" t="n">
        <f aca="false">IF(A15&gt;A_INPUT!$B$112*12,0,-((A_INPUT!$B$87-A_INPUT!$B$77)-IF(B15=1,F_SERVICE!$B$32,0)+A_INPUT!$B$77*(1+A_INPUT!$B$78)^(B15-1)))</f>
        <v>-45000</v>
      </c>
      <c r="F15" s="45" t="n">
        <f aca="false">C15+D15+E15</f>
        <v>101778.227370948</v>
      </c>
      <c r="G15" s="45" t="n">
        <f aca="false">IF(A15&gt;A_INPUT!$B$112*12,0,IF(A15&lt;=A_INPUT!$B$107*12,IFERROR(C_CALC!$B$66/A_INPUT!$B$107/12,0),0)+IF(A15&lt;=A_INPUT!$B$108*12,IFERROR(C_CALC!$B$67/A_INPUT!$B$108/12,0),0))</f>
        <v>15016.875</v>
      </c>
      <c r="H15" s="45" t="n">
        <f aca="false">K14</f>
        <v>0</v>
      </c>
      <c r="I15" s="45" t="n">
        <f aca="false">H15*A_INPUT!$B$105/12</f>
        <v>0</v>
      </c>
      <c r="J15" s="45" t="n">
        <f aca="false">IF(H15&lt;=0,0,MIN(H15,C_CALC!$B$72-I15))</f>
        <v>0</v>
      </c>
      <c r="K15" s="45" t="n">
        <f aca="false">MAX(0,H15-J15)</f>
        <v>0</v>
      </c>
      <c r="L15" s="45" t="n">
        <f aca="false">F15-G15-I15</f>
        <v>86761.3523709484</v>
      </c>
      <c r="M15" s="45" t="n">
        <f aca="false">MAX(0,L15)*A_INPUT!$B$109</f>
        <v>17352.2704741897</v>
      </c>
      <c r="N15" s="45" t="n">
        <f aca="false">L15-M15</f>
        <v>69409.0818967587</v>
      </c>
      <c r="O15" s="45" t="n">
        <f aca="false">IF(A15=A_INPUT!$B$112*12,MAX(0,C_CALC!$B$66*(1-A15/12/A_INPUT!$B$107))+MAX(0,C_CALC!$B$67*(1-A15/12/A_INPUT!$B$108))+C_CALC!$B$68+A_INPUT!$B$50,0)</f>
        <v>0</v>
      </c>
      <c r="P15" s="45" t="n">
        <f aca="false">F15-M15+O15</f>
        <v>84425.9568967587</v>
      </c>
      <c r="Q15" s="45" t="n">
        <f aca="false">Q14+P15</f>
        <v>-686592.344825931</v>
      </c>
      <c r="R15" s="45" t="n">
        <f aca="false">N15+G15-J15+O15</f>
        <v>84425.9568967587</v>
      </c>
      <c r="S15" s="75" t="n">
        <f aca="false">1/(1+A_INPUT!$B$110/12)^A15</f>
        <v>0.935765449060625</v>
      </c>
      <c r="T15" s="45" t="n">
        <f aca="false">P15*S15</f>
        <v>79002.8934678684</v>
      </c>
      <c r="U15" s="45" t="n">
        <f aca="false">U14+T15</f>
        <v>-711232.388533158</v>
      </c>
      <c r="W15" s="76" t="n">
        <f aca="false">IF(AND(Q15&gt;=0,Q14&lt;0),A15,0)</f>
        <v>0</v>
      </c>
      <c r="X15" s="76" t="n">
        <f aca="false">IF(AND(U15&gt;=0,U14&lt;0),A15,0)</f>
        <v>0</v>
      </c>
    </row>
    <row r="16" customFormat="false" ht="15" hidden="false" customHeight="false" outlineLevel="0" collapsed="false">
      <c r="A16" s="73" t="n">
        <v>9</v>
      </c>
      <c r="B16" s="73" t="n">
        <f aca="false">ROUNDUP(A16/12,0)</f>
        <v>1</v>
      </c>
      <c r="C16" s="45" t="n">
        <f aca="false">IF(A16&gt;A_INPUT!$B$112*12,0,C_CALC!$B$43*(1+A_INPUT!$B$111)^(B16-1))</f>
        <v>205630.852340936</v>
      </c>
      <c r="D16" s="45" t="n">
        <f aca="false">-C16*C_CALC!$B$57</f>
        <v>-58852.624969988</v>
      </c>
      <c r="E16" s="45" t="n">
        <f aca="false">IF(A16&gt;A_INPUT!$B$112*12,0,-((A_INPUT!$B$87-A_INPUT!$B$77)-IF(B16=1,F_SERVICE!$B$32,0)+A_INPUT!$B$77*(1+A_INPUT!$B$78)^(B16-1)))</f>
        <v>-45000</v>
      </c>
      <c r="F16" s="45" t="n">
        <f aca="false">C16+D16+E16</f>
        <v>101778.227370948</v>
      </c>
      <c r="G16" s="45" t="n">
        <f aca="false">IF(A16&gt;A_INPUT!$B$112*12,0,IF(A16&lt;=A_INPUT!$B$107*12,IFERROR(C_CALC!$B$66/A_INPUT!$B$107/12,0),0)+IF(A16&lt;=A_INPUT!$B$108*12,IFERROR(C_CALC!$B$67/A_INPUT!$B$108/12,0),0))</f>
        <v>15016.875</v>
      </c>
      <c r="H16" s="45" t="n">
        <f aca="false">K15</f>
        <v>0</v>
      </c>
      <c r="I16" s="45" t="n">
        <f aca="false">H16*A_INPUT!$B$105/12</f>
        <v>0</v>
      </c>
      <c r="J16" s="45" t="n">
        <f aca="false">IF(H16&lt;=0,0,MIN(H16,C_CALC!$B$72-I16))</f>
        <v>0</v>
      </c>
      <c r="K16" s="45" t="n">
        <f aca="false">MAX(0,H16-J16)</f>
        <v>0</v>
      </c>
      <c r="L16" s="45" t="n">
        <f aca="false">F16-G16-I16</f>
        <v>86761.3523709484</v>
      </c>
      <c r="M16" s="45" t="n">
        <f aca="false">MAX(0,L16)*A_INPUT!$B$109</f>
        <v>17352.2704741897</v>
      </c>
      <c r="N16" s="45" t="n">
        <f aca="false">L16-M16</f>
        <v>69409.0818967587</v>
      </c>
      <c r="O16" s="45" t="n">
        <f aca="false">IF(A16=A_INPUT!$B$112*12,MAX(0,C_CALC!$B$66*(1-A16/12/A_INPUT!$B$107))+MAX(0,C_CALC!$B$67*(1-A16/12/A_INPUT!$B$108))+C_CALC!$B$68+A_INPUT!$B$50,0)</f>
        <v>0</v>
      </c>
      <c r="P16" s="45" t="n">
        <f aca="false">F16-M16+O16</f>
        <v>84425.9568967587</v>
      </c>
      <c r="Q16" s="45" t="n">
        <f aca="false">Q15+P16</f>
        <v>-602166.387929172</v>
      </c>
      <c r="R16" s="45" t="n">
        <f aca="false">N16+G16-J16+O16</f>
        <v>84425.9568967587</v>
      </c>
      <c r="S16" s="75" t="n">
        <f aca="false">1/(1+A_INPUT!$B$110/12)^A16</f>
        <v>0.928031850308058</v>
      </c>
      <c r="T16" s="45" t="n">
        <f aca="false">P16*S16</f>
        <v>78349.9769929273</v>
      </c>
      <c r="U16" s="45" t="n">
        <f aca="false">U15+T16</f>
        <v>-632882.411540231</v>
      </c>
      <c r="W16" s="76" t="n">
        <f aca="false">IF(AND(Q16&gt;=0,Q15&lt;0),A16,0)</f>
        <v>0</v>
      </c>
      <c r="X16" s="76" t="n">
        <f aca="false">IF(AND(U16&gt;=0,U15&lt;0),A16,0)</f>
        <v>0</v>
      </c>
    </row>
    <row r="17" customFormat="false" ht="15" hidden="false" customHeight="false" outlineLevel="0" collapsed="false">
      <c r="A17" s="73" t="n">
        <v>10</v>
      </c>
      <c r="B17" s="73" t="n">
        <f aca="false">ROUNDUP(A17/12,0)</f>
        <v>1</v>
      </c>
      <c r="C17" s="45" t="n">
        <f aca="false">IF(A17&gt;A_INPUT!$B$112*12,0,C_CALC!$B$43*(1+A_INPUT!$B$111)^(B17-1))</f>
        <v>205630.852340936</v>
      </c>
      <c r="D17" s="45" t="n">
        <f aca="false">-C17*C_CALC!$B$57</f>
        <v>-58852.624969988</v>
      </c>
      <c r="E17" s="45" t="n">
        <f aca="false">IF(A17&gt;A_INPUT!$B$112*12,0,-((A_INPUT!$B$87-A_INPUT!$B$77)-IF(B17=1,F_SERVICE!$B$32,0)+A_INPUT!$B$77*(1+A_INPUT!$B$78)^(B17-1)))</f>
        <v>-45000</v>
      </c>
      <c r="F17" s="45" t="n">
        <f aca="false">C17+D17+E17</f>
        <v>101778.227370948</v>
      </c>
      <c r="G17" s="45" t="n">
        <f aca="false">IF(A17&gt;A_INPUT!$B$112*12,0,IF(A17&lt;=A_INPUT!$B$107*12,IFERROR(C_CALC!$B$66/A_INPUT!$B$107/12,0),0)+IF(A17&lt;=A_INPUT!$B$108*12,IFERROR(C_CALC!$B$67/A_INPUT!$B$108/12,0),0))</f>
        <v>15016.875</v>
      </c>
      <c r="H17" s="45" t="n">
        <f aca="false">K16</f>
        <v>0</v>
      </c>
      <c r="I17" s="45" t="n">
        <f aca="false">H17*A_INPUT!$B$105/12</f>
        <v>0</v>
      </c>
      <c r="J17" s="45" t="n">
        <f aca="false">IF(H17&lt;=0,0,MIN(H17,C_CALC!$B$72-I17))</f>
        <v>0</v>
      </c>
      <c r="K17" s="45" t="n">
        <f aca="false">MAX(0,H17-J17)</f>
        <v>0</v>
      </c>
      <c r="L17" s="45" t="n">
        <f aca="false">F17-G17-I17</f>
        <v>86761.3523709484</v>
      </c>
      <c r="M17" s="45" t="n">
        <f aca="false">MAX(0,L17)*A_INPUT!$B$109</f>
        <v>17352.2704741897</v>
      </c>
      <c r="N17" s="45" t="n">
        <f aca="false">L17-M17</f>
        <v>69409.0818967587</v>
      </c>
      <c r="O17" s="45" t="n">
        <f aca="false">IF(A17=A_INPUT!$B$112*12,MAX(0,C_CALC!$B$66*(1-A17/12/A_INPUT!$B$107))+MAX(0,C_CALC!$B$67*(1-A17/12/A_INPUT!$B$108))+C_CALC!$B$68+A_INPUT!$B$50,0)</f>
        <v>0</v>
      </c>
      <c r="P17" s="45" t="n">
        <f aca="false">F17-M17+O17</f>
        <v>84425.9568967587</v>
      </c>
      <c r="Q17" s="45" t="n">
        <f aca="false">Q16+P17</f>
        <v>-517740.431032414</v>
      </c>
      <c r="R17" s="45" t="n">
        <f aca="false">N17+G17-J17+O17</f>
        <v>84425.9568967587</v>
      </c>
      <c r="S17" s="75" t="n">
        <f aca="false">1/(1+A_INPUT!$B$110/12)^A17</f>
        <v>0.920362165594768</v>
      </c>
      <c r="T17" s="45" t="n">
        <f aca="false">P17*S17</f>
        <v>77702.4565219114</v>
      </c>
      <c r="U17" s="45" t="n">
        <f aca="false">U16+T17</f>
        <v>-555179.955018319</v>
      </c>
      <c r="W17" s="76" t="n">
        <f aca="false">IF(AND(Q17&gt;=0,Q16&lt;0),A17,0)</f>
        <v>0</v>
      </c>
      <c r="X17" s="76" t="n">
        <f aca="false">IF(AND(U17&gt;=0,U16&lt;0),A17,0)</f>
        <v>0</v>
      </c>
    </row>
    <row r="18" customFormat="false" ht="15" hidden="false" customHeight="false" outlineLevel="0" collapsed="false">
      <c r="A18" s="73" t="n">
        <v>11</v>
      </c>
      <c r="B18" s="73" t="n">
        <f aca="false">ROUNDUP(A18/12,0)</f>
        <v>1</v>
      </c>
      <c r="C18" s="45" t="n">
        <f aca="false">IF(A18&gt;A_INPUT!$B$112*12,0,C_CALC!$B$43*(1+A_INPUT!$B$111)^(B18-1))</f>
        <v>205630.852340936</v>
      </c>
      <c r="D18" s="45" t="n">
        <f aca="false">-C18*C_CALC!$B$57</f>
        <v>-58852.624969988</v>
      </c>
      <c r="E18" s="45" t="n">
        <f aca="false">IF(A18&gt;A_INPUT!$B$112*12,0,-((A_INPUT!$B$87-A_INPUT!$B$77)-IF(B18=1,F_SERVICE!$B$32,0)+A_INPUT!$B$77*(1+A_INPUT!$B$78)^(B18-1)))</f>
        <v>-45000</v>
      </c>
      <c r="F18" s="45" t="n">
        <f aca="false">C18+D18+E18</f>
        <v>101778.227370948</v>
      </c>
      <c r="G18" s="45" t="n">
        <f aca="false">IF(A18&gt;A_INPUT!$B$112*12,0,IF(A18&lt;=A_INPUT!$B$107*12,IFERROR(C_CALC!$B$66/A_INPUT!$B$107/12,0),0)+IF(A18&lt;=A_INPUT!$B$108*12,IFERROR(C_CALC!$B$67/A_INPUT!$B$108/12,0),0))</f>
        <v>15016.875</v>
      </c>
      <c r="H18" s="45" t="n">
        <f aca="false">K17</f>
        <v>0</v>
      </c>
      <c r="I18" s="45" t="n">
        <f aca="false">H18*A_INPUT!$B$105/12</f>
        <v>0</v>
      </c>
      <c r="J18" s="45" t="n">
        <f aca="false">IF(H18&lt;=0,0,MIN(H18,C_CALC!$B$72-I18))</f>
        <v>0</v>
      </c>
      <c r="K18" s="45" t="n">
        <f aca="false">MAX(0,H18-J18)</f>
        <v>0</v>
      </c>
      <c r="L18" s="45" t="n">
        <f aca="false">F18-G18-I18</f>
        <v>86761.3523709484</v>
      </c>
      <c r="M18" s="45" t="n">
        <f aca="false">MAX(0,L18)*A_INPUT!$B$109</f>
        <v>17352.2704741897</v>
      </c>
      <c r="N18" s="45" t="n">
        <f aca="false">L18-M18</f>
        <v>69409.0818967587</v>
      </c>
      <c r="O18" s="45" t="n">
        <f aca="false">IF(A18=A_INPUT!$B$112*12,MAX(0,C_CALC!$B$66*(1-A18/12/A_INPUT!$B$107))+MAX(0,C_CALC!$B$67*(1-A18/12/A_INPUT!$B$108))+C_CALC!$B$68+A_INPUT!$B$50,0)</f>
        <v>0</v>
      </c>
      <c r="P18" s="45" t="n">
        <f aca="false">F18-M18+O18</f>
        <v>84425.9568967587</v>
      </c>
      <c r="Q18" s="45" t="n">
        <f aca="false">Q17+P18</f>
        <v>-433314.474135655</v>
      </c>
      <c r="R18" s="45" t="n">
        <f aca="false">N18+G18-J18+O18</f>
        <v>84425.9568967587</v>
      </c>
      <c r="S18" s="75" t="n">
        <f aca="false">1/(1+A_INPUT!$B$110/12)^A18</f>
        <v>0.912755866705555</v>
      </c>
      <c r="T18" s="45" t="n">
        <f aca="false">P18*S18</f>
        <v>77060.2874597468</v>
      </c>
      <c r="U18" s="45" t="n">
        <f aca="false">U17+T18</f>
        <v>-478119.667558572</v>
      </c>
      <c r="W18" s="76" t="n">
        <f aca="false">IF(AND(Q18&gt;=0,Q17&lt;0),A18,0)</f>
        <v>0</v>
      </c>
      <c r="X18" s="76" t="n">
        <f aca="false">IF(AND(U18&gt;=0,U17&lt;0),A18,0)</f>
        <v>0</v>
      </c>
    </row>
    <row r="19" customFormat="false" ht="15" hidden="false" customHeight="false" outlineLevel="0" collapsed="false">
      <c r="A19" s="77" t="n">
        <v>12</v>
      </c>
      <c r="B19" s="77" t="n">
        <f aca="false">ROUNDUP(A19/12,0)</f>
        <v>1</v>
      </c>
      <c r="C19" s="78" t="n">
        <f aca="false">IF(A19&gt;A_INPUT!$B$112*12,0,C_CALC!$B$43*(1+A_INPUT!$B$111)^(B19-1))</f>
        <v>205630.852340936</v>
      </c>
      <c r="D19" s="78" t="n">
        <f aca="false">-C19*C_CALC!$B$57</f>
        <v>-58852.624969988</v>
      </c>
      <c r="E19" s="78" t="n">
        <f aca="false">IF(A19&gt;A_INPUT!$B$112*12,0,-((A_INPUT!$B$87-A_INPUT!$B$77)-IF(B19=1,F_SERVICE!$B$32,0)+A_INPUT!$B$77*(1+A_INPUT!$B$78)^(B19-1)))</f>
        <v>-45000</v>
      </c>
      <c r="F19" s="78" t="n">
        <f aca="false">C19+D19+E19</f>
        <v>101778.227370948</v>
      </c>
      <c r="G19" s="78" t="n">
        <f aca="false">IF(A19&gt;A_INPUT!$B$112*12,0,IF(A19&lt;=A_INPUT!$B$107*12,IFERROR(C_CALC!$B$66/A_INPUT!$B$107/12,0),0)+IF(A19&lt;=A_INPUT!$B$108*12,IFERROR(C_CALC!$B$67/A_INPUT!$B$108/12,0),0))</f>
        <v>15016.875</v>
      </c>
      <c r="H19" s="78" t="n">
        <f aca="false">K18</f>
        <v>0</v>
      </c>
      <c r="I19" s="78" t="n">
        <f aca="false">H19*A_INPUT!$B$105/12</f>
        <v>0</v>
      </c>
      <c r="J19" s="78" t="n">
        <f aca="false">IF(H19&lt;=0,0,MIN(H19,C_CALC!$B$72-I19))</f>
        <v>0</v>
      </c>
      <c r="K19" s="78" t="n">
        <f aca="false">MAX(0,H19-J19)</f>
        <v>0</v>
      </c>
      <c r="L19" s="78" t="n">
        <f aca="false">F19-G19-I19</f>
        <v>86761.3523709484</v>
      </c>
      <c r="M19" s="78" t="n">
        <f aca="false">MAX(0,L19)*A_INPUT!$B$109</f>
        <v>17352.2704741897</v>
      </c>
      <c r="N19" s="78" t="n">
        <f aca="false">L19-M19</f>
        <v>69409.0818967587</v>
      </c>
      <c r="O19" s="78" t="n">
        <f aca="false">IF(A19=A_INPUT!$B$112*12,MAX(0,C_CALC!$B$66*(1-A19/12/A_INPUT!$B$107))+MAX(0,C_CALC!$B$67*(1-A19/12/A_INPUT!$B$108))+C_CALC!$B$68+A_INPUT!$B$50,0)</f>
        <v>0</v>
      </c>
      <c r="P19" s="78" t="n">
        <f aca="false">F19-M19+O19</f>
        <v>84425.9568967587</v>
      </c>
      <c r="Q19" s="78" t="n">
        <f aca="false">Q18+P19</f>
        <v>-348888.517238896</v>
      </c>
      <c r="R19" s="78" t="n">
        <f aca="false">N19+G19-J19+O19</f>
        <v>84425.9568967587</v>
      </c>
      <c r="S19" s="79" t="n">
        <f aca="false">1/(1+A_INPUT!$B$110/12)^A19</f>
        <v>0.905212429790633</v>
      </c>
      <c r="T19" s="78" t="n">
        <f aca="false">P19*S19</f>
        <v>76423.4255799142</v>
      </c>
      <c r="U19" s="78" t="n">
        <f aca="false">U18+T19</f>
        <v>-401696.241978658</v>
      </c>
      <c r="W19" s="76" t="n">
        <f aca="false">IF(AND(Q19&gt;=0,Q18&lt;0),A19,0)</f>
        <v>0</v>
      </c>
      <c r="X19" s="76" t="n">
        <f aca="false">IF(AND(U19&gt;=0,U18&lt;0),A19,0)</f>
        <v>0</v>
      </c>
    </row>
    <row r="20" customFormat="false" ht="15" hidden="false" customHeight="false" outlineLevel="0" collapsed="false">
      <c r="A20" s="73" t="n">
        <v>13</v>
      </c>
      <c r="B20" s="73" t="n">
        <f aca="false">ROUNDUP(A20/12,0)</f>
        <v>2</v>
      </c>
      <c r="C20" s="45" t="n">
        <f aca="false">IF(A20&gt;A_INPUT!$B$112*12,0,C_CALC!$B$43*(1+A_INPUT!$B$111)^(B20-1))</f>
        <v>215912.394957983</v>
      </c>
      <c r="D20" s="45" t="n">
        <f aca="false">-C20*C_CALC!$B$57</f>
        <v>-61795.2562184874</v>
      </c>
      <c r="E20" s="45" t="n">
        <f aca="false">IF(A20&gt;A_INPUT!$B$112*12,0,-((A_INPUT!$B$87-A_INPUT!$B$77)-IF(B20=1,F_SERVICE!$B$32,0)+A_INPUT!$B$77*(1+A_INPUT!$B$78)^(B20-1)))</f>
        <v>-46833.3333333333</v>
      </c>
      <c r="F20" s="45" t="n">
        <f aca="false">C20+D20+E20</f>
        <v>107283.805406162</v>
      </c>
      <c r="G20" s="45" t="n">
        <f aca="false">IF(A20&gt;A_INPUT!$B$112*12,0,IF(A20&lt;=A_INPUT!$B$107*12,IFERROR(C_CALC!$B$66/A_INPUT!$B$107/12,0),0)+IF(A20&lt;=A_INPUT!$B$108*12,IFERROR(C_CALC!$B$67/A_INPUT!$B$108/12,0),0))</f>
        <v>15016.875</v>
      </c>
      <c r="H20" s="45" t="n">
        <f aca="false">K19</f>
        <v>0</v>
      </c>
      <c r="I20" s="45" t="n">
        <f aca="false">H20*A_INPUT!$B$105/12</f>
        <v>0</v>
      </c>
      <c r="J20" s="45" t="n">
        <f aca="false">IF(H20&lt;=0,0,MIN(H20,C_CALC!$B$72-I20))</f>
        <v>0</v>
      </c>
      <c r="K20" s="45" t="n">
        <f aca="false">MAX(0,H20-J20)</f>
        <v>0</v>
      </c>
      <c r="L20" s="45" t="n">
        <f aca="false">F20-G20-I20</f>
        <v>92266.9304061624</v>
      </c>
      <c r="M20" s="45" t="n">
        <f aca="false">MAX(0,L20)*A_INPUT!$B$109</f>
        <v>18453.3860812325</v>
      </c>
      <c r="N20" s="45" t="n">
        <f aca="false">L20-M20</f>
        <v>73813.5443249299</v>
      </c>
      <c r="O20" s="45" t="n">
        <f aca="false">IF(A20=A_INPUT!$B$112*12,MAX(0,C_CALC!$B$66*(1-A20/12/A_INPUT!$B$107))+MAX(0,C_CALC!$B$67*(1-A20/12/A_INPUT!$B$108))+C_CALC!$B$68+A_INPUT!$B$50,0)</f>
        <v>0</v>
      </c>
      <c r="P20" s="45" t="n">
        <f aca="false">F20-M20+O20</f>
        <v>88830.4193249299</v>
      </c>
      <c r="Q20" s="45" t="n">
        <f aca="false">Q19+P20</f>
        <v>-260058.097913966</v>
      </c>
      <c r="R20" s="45" t="n">
        <f aca="false">N20+G20-J20+O20</f>
        <v>88830.4193249299</v>
      </c>
      <c r="S20" s="75" t="n">
        <f aca="false">1/(1+A_INPUT!$B$110/12)^A20</f>
        <v>0.897731335329554</v>
      </c>
      <c r="T20" s="45" t="n">
        <f aca="false">P20*S20</f>
        <v>79745.8509584536</v>
      </c>
      <c r="U20" s="45" t="n">
        <f aca="false">U19+T20</f>
        <v>-321950.391020205</v>
      </c>
      <c r="W20" s="76" t="n">
        <f aca="false">IF(AND(Q20&gt;=0,Q19&lt;0),A20,0)</f>
        <v>0</v>
      </c>
      <c r="X20" s="76" t="n">
        <f aca="false">IF(AND(U20&gt;=0,U19&lt;0),A20,0)</f>
        <v>0</v>
      </c>
    </row>
    <row r="21" customFormat="false" ht="15" hidden="false" customHeight="false" outlineLevel="0" collapsed="false">
      <c r="A21" s="73" t="n">
        <v>14</v>
      </c>
      <c r="B21" s="73" t="n">
        <f aca="false">ROUNDUP(A21/12,0)</f>
        <v>2</v>
      </c>
      <c r="C21" s="45" t="n">
        <f aca="false">IF(A21&gt;A_INPUT!$B$112*12,0,C_CALC!$B$43*(1+A_INPUT!$B$111)^(B21-1))</f>
        <v>215912.394957983</v>
      </c>
      <c r="D21" s="45" t="n">
        <f aca="false">-C21*C_CALC!$B$57</f>
        <v>-61795.2562184874</v>
      </c>
      <c r="E21" s="45" t="n">
        <f aca="false">IF(A21&gt;A_INPUT!$B$112*12,0,-((A_INPUT!$B$87-A_INPUT!$B$77)-IF(B21=1,F_SERVICE!$B$32,0)+A_INPUT!$B$77*(1+A_INPUT!$B$78)^(B21-1)))</f>
        <v>-46833.3333333333</v>
      </c>
      <c r="F21" s="45" t="n">
        <f aca="false">C21+D21+E21</f>
        <v>107283.805406162</v>
      </c>
      <c r="G21" s="45" t="n">
        <f aca="false">IF(A21&gt;A_INPUT!$B$112*12,0,IF(A21&lt;=A_INPUT!$B$107*12,IFERROR(C_CALC!$B$66/A_INPUT!$B$107/12,0),0)+IF(A21&lt;=A_INPUT!$B$108*12,IFERROR(C_CALC!$B$67/A_INPUT!$B$108/12,0),0))</f>
        <v>15016.875</v>
      </c>
      <c r="H21" s="45" t="n">
        <f aca="false">K20</f>
        <v>0</v>
      </c>
      <c r="I21" s="45" t="n">
        <f aca="false">H21*A_INPUT!$B$105/12</f>
        <v>0</v>
      </c>
      <c r="J21" s="45" t="n">
        <f aca="false">IF(H21&lt;=0,0,MIN(H21,C_CALC!$B$72-I21))</f>
        <v>0</v>
      </c>
      <c r="K21" s="45" t="n">
        <f aca="false">MAX(0,H21-J21)</f>
        <v>0</v>
      </c>
      <c r="L21" s="45" t="n">
        <f aca="false">F21-G21-I21</f>
        <v>92266.9304061624</v>
      </c>
      <c r="M21" s="45" t="n">
        <f aca="false">MAX(0,L21)*A_INPUT!$B$109</f>
        <v>18453.3860812325</v>
      </c>
      <c r="N21" s="45" t="n">
        <f aca="false">L21-M21</f>
        <v>73813.5443249299</v>
      </c>
      <c r="O21" s="45" t="n">
        <f aca="false">IF(A21=A_INPUT!$B$112*12,MAX(0,C_CALC!$B$66*(1-A21/12/A_INPUT!$B$107))+MAX(0,C_CALC!$B$67*(1-A21/12/A_INPUT!$B$108))+C_CALC!$B$68+A_INPUT!$B$50,0)</f>
        <v>0</v>
      </c>
      <c r="P21" s="45" t="n">
        <f aca="false">F21-M21+O21</f>
        <v>88830.4193249299</v>
      </c>
      <c r="Q21" s="45" t="n">
        <f aca="false">Q20+P21</f>
        <v>-171227.678589036</v>
      </c>
      <c r="R21" s="45" t="n">
        <f aca="false">N21+G21-J21+O21</f>
        <v>88830.4193249299</v>
      </c>
      <c r="S21" s="75" t="n">
        <f aca="false">1/(1+A_INPUT!$B$110/12)^A21</f>
        <v>0.890312068095425</v>
      </c>
      <c r="T21" s="45" t="n">
        <f aca="false">P21*S21</f>
        <v>79086.7943389622</v>
      </c>
      <c r="U21" s="45" t="n">
        <f aca="false">U20+T21</f>
        <v>-242863.596681242</v>
      </c>
      <c r="W21" s="76" t="n">
        <f aca="false">IF(AND(Q21&gt;=0,Q20&lt;0),A21,0)</f>
        <v>0</v>
      </c>
      <c r="X21" s="76" t="n">
        <f aca="false">IF(AND(U21&gt;=0,U20&lt;0),A21,0)</f>
        <v>0</v>
      </c>
    </row>
    <row r="22" customFormat="false" ht="15" hidden="false" customHeight="false" outlineLevel="0" collapsed="false">
      <c r="A22" s="73" t="n">
        <v>15</v>
      </c>
      <c r="B22" s="73" t="n">
        <f aca="false">ROUNDUP(A22/12,0)</f>
        <v>2</v>
      </c>
      <c r="C22" s="45" t="n">
        <f aca="false">IF(A22&gt;A_INPUT!$B$112*12,0,C_CALC!$B$43*(1+A_INPUT!$B$111)^(B22-1))</f>
        <v>215912.394957983</v>
      </c>
      <c r="D22" s="45" t="n">
        <f aca="false">-C22*C_CALC!$B$57</f>
        <v>-61795.2562184874</v>
      </c>
      <c r="E22" s="45" t="n">
        <f aca="false">IF(A22&gt;A_INPUT!$B$112*12,0,-((A_INPUT!$B$87-A_INPUT!$B$77)-IF(B22=1,F_SERVICE!$B$32,0)+A_INPUT!$B$77*(1+A_INPUT!$B$78)^(B22-1)))</f>
        <v>-46833.3333333333</v>
      </c>
      <c r="F22" s="45" t="n">
        <f aca="false">C22+D22+E22</f>
        <v>107283.805406162</v>
      </c>
      <c r="G22" s="45" t="n">
        <f aca="false">IF(A22&gt;A_INPUT!$B$112*12,0,IF(A22&lt;=A_INPUT!$B$107*12,IFERROR(C_CALC!$B$66/A_INPUT!$B$107/12,0),0)+IF(A22&lt;=A_INPUT!$B$108*12,IFERROR(C_CALC!$B$67/A_INPUT!$B$108/12,0),0))</f>
        <v>15016.875</v>
      </c>
      <c r="H22" s="45" t="n">
        <f aca="false">K21</f>
        <v>0</v>
      </c>
      <c r="I22" s="45" t="n">
        <f aca="false">H22*A_INPUT!$B$105/12</f>
        <v>0</v>
      </c>
      <c r="J22" s="45" t="n">
        <f aca="false">IF(H22&lt;=0,0,MIN(H22,C_CALC!$B$72-I22))</f>
        <v>0</v>
      </c>
      <c r="K22" s="45" t="n">
        <f aca="false">MAX(0,H22-J22)</f>
        <v>0</v>
      </c>
      <c r="L22" s="45" t="n">
        <f aca="false">F22-G22-I22</f>
        <v>92266.9304061624</v>
      </c>
      <c r="M22" s="45" t="n">
        <f aca="false">MAX(0,L22)*A_INPUT!$B$109</f>
        <v>18453.3860812325</v>
      </c>
      <c r="N22" s="45" t="n">
        <f aca="false">L22-M22</f>
        <v>73813.5443249299</v>
      </c>
      <c r="O22" s="45" t="n">
        <f aca="false">IF(A22=A_INPUT!$B$112*12,MAX(0,C_CALC!$B$66*(1-A22/12/A_INPUT!$B$107))+MAX(0,C_CALC!$B$67*(1-A22/12/A_INPUT!$B$108))+C_CALC!$B$68+A_INPUT!$B$50,0)</f>
        <v>0</v>
      </c>
      <c r="P22" s="45" t="n">
        <f aca="false">F22-M22+O22</f>
        <v>88830.4193249299</v>
      </c>
      <c r="Q22" s="45" t="n">
        <f aca="false">Q21+P22</f>
        <v>-82397.2592641063</v>
      </c>
      <c r="R22" s="45" t="n">
        <f aca="false">N22+G22-J22+O22</f>
        <v>88830.4193249299</v>
      </c>
      <c r="S22" s="75" t="n">
        <f aca="false">1/(1+A_INPUT!$B$110/12)^A22</f>
        <v>0.88295411711943</v>
      </c>
      <c r="T22" s="45" t="n">
        <f aca="false">P22*S22</f>
        <v>78433.1844683923</v>
      </c>
      <c r="U22" s="45" t="n">
        <f aca="false">U21+T22</f>
        <v>-164430.41221285</v>
      </c>
      <c r="W22" s="76" t="n">
        <f aca="false">IF(AND(Q22&gt;=0,Q21&lt;0),A22,0)</f>
        <v>0</v>
      </c>
      <c r="X22" s="76" t="n">
        <f aca="false">IF(AND(U22&gt;=0,U21&lt;0),A22,0)</f>
        <v>0</v>
      </c>
    </row>
    <row r="23" customFormat="false" ht="15" hidden="false" customHeight="false" outlineLevel="0" collapsed="false">
      <c r="A23" s="73" t="n">
        <v>16</v>
      </c>
      <c r="B23" s="73" t="n">
        <f aca="false">ROUNDUP(A23/12,0)</f>
        <v>2</v>
      </c>
      <c r="C23" s="45" t="n">
        <f aca="false">IF(A23&gt;A_INPUT!$B$112*12,0,C_CALC!$B$43*(1+A_INPUT!$B$111)^(B23-1))</f>
        <v>215912.394957983</v>
      </c>
      <c r="D23" s="45" t="n">
        <f aca="false">-C23*C_CALC!$B$57</f>
        <v>-61795.2562184874</v>
      </c>
      <c r="E23" s="45" t="n">
        <f aca="false">IF(A23&gt;A_INPUT!$B$112*12,0,-((A_INPUT!$B$87-A_INPUT!$B$77)-IF(B23=1,F_SERVICE!$B$32,0)+A_INPUT!$B$77*(1+A_INPUT!$B$78)^(B23-1)))</f>
        <v>-46833.3333333333</v>
      </c>
      <c r="F23" s="45" t="n">
        <f aca="false">C23+D23+E23</f>
        <v>107283.805406162</v>
      </c>
      <c r="G23" s="45" t="n">
        <f aca="false">IF(A23&gt;A_INPUT!$B$112*12,0,IF(A23&lt;=A_INPUT!$B$107*12,IFERROR(C_CALC!$B$66/A_INPUT!$B$107/12,0),0)+IF(A23&lt;=A_INPUT!$B$108*12,IFERROR(C_CALC!$B$67/A_INPUT!$B$108/12,0),0))</f>
        <v>15016.875</v>
      </c>
      <c r="H23" s="45" t="n">
        <f aca="false">K22</f>
        <v>0</v>
      </c>
      <c r="I23" s="45" t="n">
        <f aca="false">H23*A_INPUT!$B$105/12</f>
        <v>0</v>
      </c>
      <c r="J23" s="45" t="n">
        <f aca="false">IF(H23&lt;=0,0,MIN(H23,C_CALC!$B$72-I23))</f>
        <v>0</v>
      </c>
      <c r="K23" s="45" t="n">
        <f aca="false">MAX(0,H23-J23)</f>
        <v>0</v>
      </c>
      <c r="L23" s="45" t="n">
        <f aca="false">F23-G23-I23</f>
        <v>92266.9304061624</v>
      </c>
      <c r="M23" s="45" t="n">
        <f aca="false">MAX(0,L23)*A_INPUT!$B$109</f>
        <v>18453.3860812325</v>
      </c>
      <c r="N23" s="45" t="n">
        <f aca="false">L23-M23</f>
        <v>73813.5443249299</v>
      </c>
      <c r="O23" s="45" t="n">
        <f aca="false">IF(A23=A_INPUT!$B$112*12,MAX(0,C_CALC!$B$66*(1-A23/12/A_INPUT!$B$107))+MAX(0,C_CALC!$B$67*(1-A23/12/A_INPUT!$B$108))+C_CALC!$B$68+A_INPUT!$B$50,0)</f>
        <v>0</v>
      </c>
      <c r="P23" s="45" t="n">
        <f aca="false">F23-M23+O23</f>
        <v>88830.4193249299</v>
      </c>
      <c r="Q23" s="45" t="n">
        <f aca="false">Q22+P23</f>
        <v>6433.1600608236</v>
      </c>
      <c r="R23" s="45" t="n">
        <f aca="false">N23+G23-J23+O23</f>
        <v>88830.4193249299</v>
      </c>
      <c r="S23" s="75" t="n">
        <f aca="false">1/(1+A_INPUT!$B$110/12)^A23</f>
        <v>0.875656975655633</v>
      </c>
      <c r="T23" s="45" t="n">
        <f aca="false">P23*S23</f>
        <v>77784.9763322899</v>
      </c>
      <c r="U23" s="45" t="n">
        <f aca="false">U22+T23</f>
        <v>-86645.4358805604</v>
      </c>
      <c r="W23" s="76" t="n">
        <f aca="false">IF(AND(Q23&gt;=0,Q22&lt;0),A23,0)</f>
        <v>16</v>
      </c>
      <c r="X23" s="76" t="n">
        <f aca="false">IF(AND(U23&gt;=0,U22&lt;0),A23,0)</f>
        <v>0</v>
      </c>
    </row>
    <row r="24" customFormat="false" ht="15" hidden="false" customHeight="false" outlineLevel="0" collapsed="false">
      <c r="A24" s="73" t="n">
        <v>17</v>
      </c>
      <c r="B24" s="73" t="n">
        <f aca="false">ROUNDUP(A24/12,0)</f>
        <v>2</v>
      </c>
      <c r="C24" s="45" t="n">
        <f aca="false">IF(A24&gt;A_INPUT!$B$112*12,0,C_CALC!$B$43*(1+A_INPUT!$B$111)^(B24-1))</f>
        <v>215912.394957983</v>
      </c>
      <c r="D24" s="45" t="n">
        <f aca="false">-C24*C_CALC!$B$57</f>
        <v>-61795.2562184874</v>
      </c>
      <c r="E24" s="45" t="n">
        <f aca="false">IF(A24&gt;A_INPUT!$B$112*12,0,-((A_INPUT!$B$87-A_INPUT!$B$77)-IF(B24=1,F_SERVICE!$B$32,0)+A_INPUT!$B$77*(1+A_INPUT!$B$78)^(B24-1)))</f>
        <v>-46833.3333333333</v>
      </c>
      <c r="F24" s="45" t="n">
        <f aca="false">C24+D24+E24</f>
        <v>107283.805406162</v>
      </c>
      <c r="G24" s="45" t="n">
        <f aca="false">IF(A24&gt;A_INPUT!$B$112*12,0,IF(A24&lt;=A_INPUT!$B$107*12,IFERROR(C_CALC!$B$66/A_INPUT!$B$107/12,0),0)+IF(A24&lt;=A_INPUT!$B$108*12,IFERROR(C_CALC!$B$67/A_INPUT!$B$108/12,0),0))</f>
        <v>15016.875</v>
      </c>
      <c r="H24" s="45" t="n">
        <f aca="false">K23</f>
        <v>0</v>
      </c>
      <c r="I24" s="45" t="n">
        <f aca="false">H24*A_INPUT!$B$105/12</f>
        <v>0</v>
      </c>
      <c r="J24" s="45" t="n">
        <f aca="false">IF(H24&lt;=0,0,MIN(H24,C_CALC!$B$72-I24))</f>
        <v>0</v>
      </c>
      <c r="K24" s="45" t="n">
        <f aca="false">MAX(0,H24-J24)</f>
        <v>0</v>
      </c>
      <c r="L24" s="45" t="n">
        <f aca="false">F24-G24-I24</f>
        <v>92266.9304061624</v>
      </c>
      <c r="M24" s="45" t="n">
        <f aca="false">MAX(0,L24)*A_INPUT!$B$109</f>
        <v>18453.3860812325</v>
      </c>
      <c r="N24" s="45" t="n">
        <f aca="false">L24-M24</f>
        <v>73813.5443249299</v>
      </c>
      <c r="O24" s="45" t="n">
        <f aca="false">IF(A24=A_INPUT!$B$112*12,MAX(0,C_CALC!$B$66*(1-A24/12/A_INPUT!$B$107))+MAX(0,C_CALC!$B$67*(1-A24/12/A_INPUT!$B$108))+C_CALC!$B$68+A_INPUT!$B$50,0)</f>
        <v>0</v>
      </c>
      <c r="P24" s="45" t="n">
        <f aca="false">F24-M24+O24</f>
        <v>88830.4193249299</v>
      </c>
      <c r="Q24" s="45" t="n">
        <f aca="false">Q23+P24</f>
        <v>95263.5793857536</v>
      </c>
      <c r="R24" s="45" t="n">
        <f aca="false">N24+G24-J24+O24</f>
        <v>88830.4193249299</v>
      </c>
      <c r="S24" s="75" t="n">
        <f aca="false">1/(1+A_INPUT!$B$110/12)^A24</f>
        <v>0.868420141146082</v>
      </c>
      <c r="T24" s="45" t="n">
        <f aca="false">P24*S24</f>
        <v>77142.1252882213</v>
      </c>
      <c r="U24" s="45" t="n">
        <f aca="false">U23+T24</f>
        <v>-9503.31059233901</v>
      </c>
      <c r="W24" s="76" t="n">
        <f aca="false">IF(AND(Q24&gt;=0,Q23&lt;0),A24,0)</f>
        <v>0</v>
      </c>
      <c r="X24" s="76" t="n">
        <f aca="false">IF(AND(U24&gt;=0,U23&lt;0),A24,0)</f>
        <v>0</v>
      </c>
    </row>
    <row r="25" customFormat="false" ht="15" hidden="false" customHeight="false" outlineLevel="0" collapsed="false">
      <c r="A25" s="73" t="n">
        <v>18</v>
      </c>
      <c r="B25" s="73" t="n">
        <f aca="false">ROUNDUP(A25/12,0)</f>
        <v>2</v>
      </c>
      <c r="C25" s="45" t="n">
        <f aca="false">IF(A25&gt;A_INPUT!$B$112*12,0,C_CALC!$B$43*(1+A_INPUT!$B$111)^(B25-1))</f>
        <v>215912.394957983</v>
      </c>
      <c r="D25" s="45" t="n">
        <f aca="false">-C25*C_CALC!$B$57</f>
        <v>-61795.2562184874</v>
      </c>
      <c r="E25" s="45" t="n">
        <f aca="false">IF(A25&gt;A_INPUT!$B$112*12,0,-((A_INPUT!$B$87-A_INPUT!$B$77)-IF(B25=1,F_SERVICE!$B$32,0)+A_INPUT!$B$77*(1+A_INPUT!$B$78)^(B25-1)))</f>
        <v>-46833.3333333333</v>
      </c>
      <c r="F25" s="45" t="n">
        <f aca="false">C25+D25+E25</f>
        <v>107283.805406162</v>
      </c>
      <c r="G25" s="45" t="n">
        <f aca="false">IF(A25&gt;A_INPUT!$B$112*12,0,IF(A25&lt;=A_INPUT!$B$107*12,IFERROR(C_CALC!$B$66/A_INPUT!$B$107/12,0),0)+IF(A25&lt;=A_INPUT!$B$108*12,IFERROR(C_CALC!$B$67/A_INPUT!$B$108/12,0),0))</f>
        <v>15016.875</v>
      </c>
      <c r="H25" s="45" t="n">
        <f aca="false">K24</f>
        <v>0</v>
      </c>
      <c r="I25" s="45" t="n">
        <f aca="false">H25*A_INPUT!$B$105/12</f>
        <v>0</v>
      </c>
      <c r="J25" s="45" t="n">
        <f aca="false">IF(H25&lt;=0,0,MIN(H25,C_CALC!$B$72-I25))</f>
        <v>0</v>
      </c>
      <c r="K25" s="45" t="n">
        <f aca="false">MAX(0,H25-J25)</f>
        <v>0</v>
      </c>
      <c r="L25" s="45" t="n">
        <f aca="false">F25-G25-I25</f>
        <v>92266.9304061624</v>
      </c>
      <c r="M25" s="45" t="n">
        <f aca="false">MAX(0,L25)*A_INPUT!$B$109</f>
        <v>18453.3860812325</v>
      </c>
      <c r="N25" s="45" t="n">
        <f aca="false">L25-M25</f>
        <v>73813.5443249299</v>
      </c>
      <c r="O25" s="45" t="n">
        <f aca="false">IF(A25=A_INPUT!$B$112*12,MAX(0,C_CALC!$B$66*(1-A25/12/A_INPUT!$B$107))+MAX(0,C_CALC!$B$67*(1-A25/12/A_INPUT!$B$108))+C_CALC!$B$68+A_INPUT!$B$50,0)</f>
        <v>0</v>
      </c>
      <c r="P25" s="45" t="n">
        <f aca="false">F25-M25+O25</f>
        <v>88830.4193249299</v>
      </c>
      <c r="Q25" s="45" t="n">
        <f aca="false">Q24+P25</f>
        <v>184093.998710684</v>
      </c>
      <c r="R25" s="45" t="n">
        <f aca="false">N25+G25-J25+O25</f>
        <v>88830.4193249299</v>
      </c>
      <c r="S25" s="75" t="n">
        <f aca="false">1/(1+A_INPUT!$B$110/12)^A25</f>
        <v>0.861243115186197</v>
      </c>
      <c r="T25" s="45" t="n">
        <f aca="false">P25*S25</f>
        <v>76504.5870626989</v>
      </c>
      <c r="U25" s="45" t="n">
        <f aca="false">U24+T25</f>
        <v>67001.2764703599</v>
      </c>
      <c r="W25" s="76" t="n">
        <f aca="false">IF(AND(Q25&gt;=0,Q24&lt;0),A25,0)</f>
        <v>0</v>
      </c>
      <c r="X25" s="76" t="n">
        <f aca="false">IF(AND(U25&gt;=0,U24&lt;0),A25,0)</f>
        <v>18</v>
      </c>
    </row>
    <row r="26" customFormat="false" ht="15" hidden="false" customHeight="false" outlineLevel="0" collapsed="false">
      <c r="A26" s="73" t="n">
        <v>19</v>
      </c>
      <c r="B26" s="73" t="n">
        <f aca="false">ROUNDUP(A26/12,0)</f>
        <v>2</v>
      </c>
      <c r="C26" s="45" t="n">
        <f aca="false">IF(A26&gt;A_INPUT!$B$112*12,0,C_CALC!$B$43*(1+A_INPUT!$B$111)^(B26-1))</f>
        <v>215912.394957983</v>
      </c>
      <c r="D26" s="45" t="n">
        <f aca="false">-C26*C_CALC!$B$57</f>
        <v>-61795.2562184874</v>
      </c>
      <c r="E26" s="45" t="n">
        <f aca="false">IF(A26&gt;A_INPUT!$B$112*12,0,-((A_INPUT!$B$87-A_INPUT!$B$77)-IF(B26=1,F_SERVICE!$B$32,0)+A_INPUT!$B$77*(1+A_INPUT!$B$78)^(B26-1)))</f>
        <v>-46833.3333333333</v>
      </c>
      <c r="F26" s="45" t="n">
        <f aca="false">C26+D26+E26</f>
        <v>107283.805406162</v>
      </c>
      <c r="G26" s="45" t="n">
        <f aca="false">IF(A26&gt;A_INPUT!$B$112*12,0,IF(A26&lt;=A_INPUT!$B$107*12,IFERROR(C_CALC!$B$66/A_INPUT!$B$107/12,0),0)+IF(A26&lt;=A_INPUT!$B$108*12,IFERROR(C_CALC!$B$67/A_INPUT!$B$108/12,0),0))</f>
        <v>15016.875</v>
      </c>
      <c r="H26" s="45" t="n">
        <f aca="false">K25</f>
        <v>0</v>
      </c>
      <c r="I26" s="45" t="n">
        <f aca="false">H26*A_INPUT!$B$105/12</f>
        <v>0</v>
      </c>
      <c r="J26" s="45" t="n">
        <f aca="false">IF(H26&lt;=0,0,MIN(H26,C_CALC!$B$72-I26))</f>
        <v>0</v>
      </c>
      <c r="K26" s="45" t="n">
        <f aca="false">MAX(0,H26-J26)</f>
        <v>0</v>
      </c>
      <c r="L26" s="45" t="n">
        <f aca="false">F26-G26-I26</f>
        <v>92266.9304061624</v>
      </c>
      <c r="M26" s="45" t="n">
        <f aca="false">MAX(0,L26)*A_INPUT!$B$109</f>
        <v>18453.3860812325</v>
      </c>
      <c r="N26" s="45" t="n">
        <f aca="false">L26-M26</f>
        <v>73813.5443249299</v>
      </c>
      <c r="O26" s="45" t="n">
        <f aca="false">IF(A26=A_INPUT!$B$112*12,MAX(0,C_CALC!$B$66*(1-A26/12/A_INPUT!$B$107))+MAX(0,C_CALC!$B$67*(1-A26/12/A_INPUT!$B$108))+C_CALC!$B$68+A_INPUT!$B$50,0)</f>
        <v>0</v>
      </c>
      <c r="P26" s="45" t="n">
        <f aca="false">F26-M26+O26</f>
        <v>88830.4193249299</v>
      </c>
      <c r="Q26" s="45" t="n">
        <f aca="false">Q25+P26</f>
        <v>272924.418035613</v>
      </c>
      <c r="R26" s="45" t="n">
        <f aca="false">N26+G26-J26+O26</f>
        <v>88830.4193249299</v>
      </c>
      <c r="S26" s="75" t="n">
        <f aca="false">1/(1+A_INPUT!$B$110/12)^A26</f>
        <v>0.854125403490444</v>
      </c>
      <c r="T26" s="45" t="n">
        <f aca="false">P26*S26</f>
        <v>75872.3177481311</v>
      </c>
      <c r="U26" s="45" t="n">
        <f aca="false">U25+T26</f>
        <v>142873.594218491</v>
      </c>
      <c r="W26" s="76" t="n">
        <f aca="false">IF(AND(Q26&gt;=0,Q25&lt;0),A26,0)</f>
        <v>0</v>
      </c>
      <c r="X26" s="76" t="n">
        <f aca="false">IF(AND(U26&gt;=0,U25&lt;0),A26,0)</f>
        <v>0</v>
      </c>
    </row>
    <row r="27" customFormat="false" ht="15" hidden="false" customHeight="false" outlineLevel="0" collapsed="false">
      <c r="A27" s="73" t="n">
        <v>20</v>
      </c>
      <c r="B27" s="73" t="n">
        <f aca="false">ROUNDUP(A27/12,0)</f>
        <v>2</v>
      </c>
      <c r="C27" s="45" t="n">
        <f aca="false">IF(A27&gt;A_INPUT!$B$112*12,0,C_CALC!$B$43*(1+A_INPUT!$B$111)^(B27-1))</f>
        <v>215912.394957983</v>
      </c>
      <c r="D27" s="45" t="n">
        <f aca="false">-C27*C_CALC!$B$57</f>
        <v>-61795.2562184874</v>
      </c>
      <c r="E27" s="45" t="n">
        <f aca="false">IF(A27&gt;A_INPUT!$B$112*12,0,-((A_INPUT!$B$87-A_INPUT!$B$77)-IF(B27=1,F_SERVICE!$B$32,0)+A_INPUT!$B$77*(1+A_INPUT!$B$78)^(B27-1)))</f>
        <v>-46833.3333333333</v>
      </c>
      <c r="F27" s="45" t="n">
        <f aca="false">C27+D27+E27</f>
        <v>107283.805406162</v>
      </c>
      <c r="G27" s="45" t="n">
        <f aca="false">IF(A27&gt;A_INPUT!$B$112*12,0,IF(A27&lt;=A_INPUT!$B$107*12,IFERROR(C_CALC!$B$66/A_INPUT!$B$107/12,0),0)+IF(A27&lt;=A_INPUT!$B$108*12,IFERROR(C_CALC!$B$67/A_INPUT!$B$108/12,0),0))</f>
        <v>15016.875</v>
      </c>
      <c r="H27" s="45" t="n">
        <f aca="false">K26</f>
        <v>0</v>
      </c>
      <c r="I27" s="45" t="n">
        <f aca="false">H27*A_INPUT!$B$105/12</f>
        <v>0</v>
      </c>
      <c r="J27" s="45" t="n">
        <f aca="false">IF(H27&lt;=0,0,MIN(H27,C_CALC!$B$72-I27))</f>
        <v>0</v>
      </c>
      <c r="K27" s="45" t="n">
        <f aca="false">MAX(0,H27-J27)</f>
        <v>0</v>
      </c>
      <c r="L27" s="45" t="n">
        <f aca="false">F27-G27-I27</f>
        <v>92266.9304061624</v>
      </c>
      <c r="M27" s="45" t="n">
        <f aca="false">MAX(0,L27)*A_INPUT!$B$109</f>
        <v>18453.3860812325</v>
      </c>
      <c r="N27" s="45" t="n">
        <f aca="false">L27-M27</f>
        <v>73813.5443249299</v>
      </c>
      <c r="O27" s="45" t="n">
        <f aca="false">IF(A27=A_INPUT!$B$112*12,MAX(0,C_CALC!$B$66*(1-A27/12/A_INPUT!$B$107))+MAX(0,C_CALC!$B$67*(1-A27/12/A_INPUT!$B$108))+C_CALC!$B$68+A_INPUT!$B$50,0)</f>
        <v>0</v>
      </c>
      <c r="P27" s="45" t="n">
        <f aca="false">F27-M27+O27</f>
        <v>88830.4193249299</v>
      </c>
      <c r="Q27" s="45" t="n">
        <f aca="false">Q26+P27</f>
        <v>361754.837360543</v>
      </c>
      <c r="R27" s="45" t="n">
        <f aca="false">N27+G27-J27+O27</f>
        <v>88830.4193249299</v>
      </c>
      <c r="S27" s="75" t="n">
        <f aca="false">1/(1+A_INPUT!$B$110/12)^A27</f>
        <v>0.847066515858291</v>
      </c>
      <c r="T27" s="45" t="n">
        <f aca="false">P27*S27</f>
        <v>75245.2737997994</v>
      </c>
      <c r="U27" s="45" t="n">
        <f aca="false">U26+T27</f>
        <v>218118.86801829</v>
      </c>
      <c r="W27" s="76" t="n">
        <f aca="false">IF(AND(Q27&gt;=0,Q26&lt;0),A27,0)</f>
        <v>0</v>
      </c>
      <c r="X27" s="76" t="n">
        <f aca="false">IF(AND(U27&gt;=0,U26&lt;0),A27,0)</f>
        <v>0</v>
      </c>
    </row>
    <row r="28" customFormat="false" ht="15" hidden="false" customHeight="false" outlineLevel="0" collapsed="false">
      <c r="A28" s="73" t="n">
        <v>21</v>
      </c>
      <c r="B28" s="73" t="n">
        <f aca="false">ROUNDUP(A28/12,0)</f>
        <v>2</v>
      </c>
      <c r="C28" s="45" t="n">
        <f aca="false">IF(A28&gt;A_INPUT!$B$112*12,0,C_CALC!$B$43*(1+A_INPUT!$B$111)^(B28-1))</f>
        <v>215912.394957983</v>
      </c>
      <c r="D28" s="45" t="n">
        <f aca="false">-C28*C_CALC!$B$57</f>
        <v>-61795.2562184874</v>
      </c>
      <c r="E28" s="45" t="n">
        <f aca="false">IF(A28&gt;A_INPUT!$B$112*12,0,-((A_INPUT!$B$87-A_INPUT!$B$77)-IF(B28=1,F_SERVICE!$B$32,0)+A_INPUT!$B$77*(1+A_INPUT!$B$78)^(B28-1)))</f>
        <v>-46833.3333333333</v>
      </c>
      <c r="F28" s="45" t="n">
        <f aca="false">C28+D28+E28</f>
        <v>107283.805406162</v>
      </c>
      <c r="G28" s="45" t="n">
        <f aca="false">IF(A28&gt;A_INPUT!$B$112*12,0,IF(A28&lt;=A_INPUT!$B$107*12,IFERROR(C_CALC!$B$66/A_INPUT!$B$107/12,0),0)+IF(A28&lt;=A_INPUT!$B$108*12,IFERROR(C_CALC!$B$67/A_INPUT!$B$108/12,0),0))</f>
        <v>15016.875</v>
      </c>
      <c r="H28" s="45" t="n">
        <f aca="false">K27</f>
        <v>0</v>
      </c>
      <c r="I28" s="45" t="n">
        <f aca="false">H28*A_INPUT!$B$105/12</f>
        <v>0</v>
      </c>
      <c r="J28" s="45" t="n">
        <f aca="false">IF(H28&lt;=0,0,MIN(H28,C_CALC!$B$72-I28))</f>
        <v>0</v>
      </c>
      <c r="K28" s="45" t="n">
        <f aca="false">MAX(0,H28-J28)</f>
        <v>0</v>
      </c>
      <c r="L28" s="45" t="n">
        <f aca="false">F28-G28-I28</f>
        <v>92266.9304061624</v>
      </c>
      <c r="M28" s="45" t="n">
        <f aca="false">MAX(0,L28)*A_INPUT!$B$109</f>
        <v>18453.3860812325</v>
      </c>
      <c r="N28" s="45" t="n">
        <f aca="false">L28-M28</f>
        <v>73813.5443249299</v>
      </c>
      <c r="O28" s="45" t="n">
        <f aca="false">IF(A28=A_INPUT!$B$112*12,MAX(0,C_CALC!$B$66*(1-A28/12/A_INPUT!$B$107))+MAX(0,C_CALC!$B$67*(1-A28/12/A_INPUT!$B$108))+C_CALC!$B$68+A_INPUT!$B$50,0)</f>
        <v>0</v>
      </c>
      <c r="P28" s="45" t="n">
        <f aca="false">F28-M28+O28</f>
        <v>88830.4193249299</v>
      </c>
      <c r="Q28" s="45" t="n">
        <f aca="false">Q27+P28</f>
        <v>450585.256685473</v>
      </c>
      <c r="R28" s="45" t="n">
        <f aca="false">N28+G28-J28+O28</f>
        <v>88830.4193249299</v>
      </c>
      <c r="S28" s="75" t="n">
        <f aca="false">1/(1+A_INPUT!$B$110/12)^A28</f>
        <v>0.840065966140454</v>
      </c>
      <c r="T28" s="45" t="n">
        <f aca="false">P28*S28</f>
        <v>74623.4120328589</v>
      </c>
      <c r="U28" s="45" t="n">
        <f aca="false">U27+T28</f>
        <v>292742.280051149</v>
      </c>
      <c r="W28" s="76" t="n">
        <f aca="false">IF(AND(Q28&gt;=0,Q27&lt;0),A28,0)</f>
        <v>0</v>
      </c>
      <c r="X28" s="76" t="n">
        <f aca="false">IF(AND(U28&gt;=0,U27&lt;0),A28,0)</f>
        <v>0</v>
      </c>
    </row>
    <row r="29" customFormat="false" ht="15" hidden="false" customHeight="false" outlineLevel="0" collapsed="false">
      <c r="A29" s="73" t="n">
        <v>22</v>
      </c>
      <c r="B29" s="73" t="n">
        <f aca="false">ROUNDUP(A29/12,0)</f>
        <v>2</v>
      </c>
      <c r="C29" s="45" t="n">
        <f aca="false">IF(A29&gt;A_INPUT!$B$112*12,0,C_CALC!$B$43*(1+A_INPUT!$B$111)^(B29-1))</f>
        <v>215912.394957983</v>
      </c>
      <c r="D29" s="45" t="n">
        <f aca="false">-C29*C_CALC!$B$57</f>
        <v>-61795.2562184874</v>
      </c>
      <c r="E29" s="45" t="n">
        <f aca="false">IF(A29&gt;A_INPUT!$B$112*12,0,-((A_INPUT!$B$87-A_INPUT!$B$77)-IF(B29=1,F_SERVICE!$B$32,0)+A_INPUT!$B$77*(1+A_INPUT!$B$78)^(B29-1)))</f>
        <v>-46833.3333333333</v>
      </c>
      <c r="F29" s="45" t="n">
        <f aca="false">C29+D29+E29</f>
        <v>107283.805406162</v>
      </c>
      <c r="G29" s="45" t="n">
        <f aca="false">IF(A29&gt;A_INPUT!$B$112*12,0,IF(A29&lt;=A_INPUT!$B$107*12,IFERROR(C_CALC!$B$66/A_INPUT!$B$107/12,0),0)+IF(A29&lt;=A_INPUT!$B$108*12,IFERROR(C_CALC!$B$67/A_INPUT!$B$108/12,0),0))</f>
        <v>15016.875</v>
      </c>
      <c r="H29" s="45" t="n">
        <f aca="false">K28</f>
        <v>0</v>
      </c>
      <c r="I29" s="45" t="n">
        <f aca="false">H29*A_INPUT!$B$105/12</f>
        <v>0</v>
      </c>
      <c r="J29" s="45" t="n">
        <f aca="false">IF(H29&lt;=0,0,MIN(H29,C_CALC!$B$72-I29))</f>
        <v>0</v>
      </c>
      <c r="K29" s="45" t="n">
        <f aca="false">MAX(0,H29-J29)</f>
        <v>0</v>
      </c>
      <c r="L29" s="45" t="n">
        <f aca="false">F29-G29-I29</f>
        <v>92266.9304061624</v>
      </c>
      <c r="M29" s="45" t="n">
        <f aca="false">MAX(0,L29)*A_INPUT!$B$109</f>
        <v>18453.3860812325</v>
      </c>
      <c r="N29" s="45" t="n">
        <f aca="false">L29-M29</f>
        <v>73813.5443249299</v>
      </c>
      <c r="O29" s="45" t="n">
        <f aca="false">IF(A29=A_INPUT!$B$112*12,MAX(0,C_CALC!$B$66*(1-A29/12/A_INPUT!$B$107))+MAX(0,C_CALC!$B$67*(1-A29/12/A_INPUT!$B$108))+C_CALC!$B$68+A_INPUT!$B$50,0)</f>
        <v>0</v>
      </c>
      <c r="P29" s="45" t="n">
        <f aca="false">F29-M29+O29</f>
        <v>88830.4193249299</v>
      </c>
      <c r="Q29" s="45" t="n">
        <f aca="false">Q28+P29</f>
        <v>539415.676010403</v>
      </c>
      <c r="R29" s="45" t="n">
        <f aca="false">N29+G29-J29+O29</f>
        <v>88830.4193249299</v>
      </c>
      <c r="S29" s="75" t="n">
        <f aca="false">1/(1+A_INPUT!$B$110/12)^A29</f>
        <v>0.833123272205409</v>
      </c>
      <c r="T29" s="45" t="n">
        <f aca="false">P29*S29</f>
        <v>74006.6896193643</v>
      </c>
      <c r="U29" s="45" t="n">
        <f aca="false">U28+T29</f>
        <v>366748.969670514</v>
      </c>
      <c r="W29" s="76" t="n">
        <f aca="false">IF(AND(Q29&gt;=0,Q28&lt;0),A29,0)</f>
        <v>0</v>
      </c>
      <c r="X29" s="76" t="n">
        <f aca="false">IF(AND(U29&gt;=0,U28&lt;0),A29,0)</f>
        <v>0</v>
      </c>
    </row>
    <row r="30" customFormat="false" ht="15" hidden="false" customHeight="false" outlineLevel="0" collapsed="false">
      <c r="A30" s="73" t="n">
        <v>23</v>
      </c>
      <c r="B30" s="73" t="n">
        <f aca="false">ROUNDUP(A30/12,0)</f>
        <v>2</v>
      </c>
      <c r="C30" s="45" t="n">
        <f aca="false">IF(A30&gt;A_INPUT!$B$112*12,0,C_CALC!$B$43*(1+A_INPUT!$B$111)^(B30-1))</f>
        <v>215912.394957983</v>
      </c>
      <c r="D30" s="45" t="n">
        <f aca="false">-C30*C_CALC!$B$57</f>
        <v>-61795.2562184874</v>
      </c>
      <c r="E30" s="45" t="n">
        <f aca="false">IF(A30&gt;A_INPUT!$B$112*12,0,-((A_INPUT!$B$87-A_INPUT!$B$77)-IF(B30=1,F_SERVICE!$B$32,0)+A_INPUT!$B$77*(1+A_INPUT!$B$78)^(B30-1)))</f>
        <v>-46833.3333333333</v>
      </c>
      <c r="F30" s="45" t="n">
        <f aca="false">C30+D30+E30</f>
        <v>107283.805406162</v>
      </c>
      <c r="G30" s="45" t="n">
        <f aca="false">IF(A30&gt;A_INPUT!$B$112*12,0,IF(A30&lt;=A_INPUT!$B$107*12,IFERROR(C_CALC!$B$66/A_INPUT!$B$107/12,0),0)+IF(A30&lt;=A_INPUT!$B$108*12,IFERROR(C_CALC!$B$67/A_INPUT!$B$108/12,0),0))</f>
        <v>15016.875</v>
      </c>
      <c r="H30" s="45" t="n">
        <f aca="false">K29</f>
        <v>0</v>
      </c>
      <c r="I30" s="45" t="n">
        <f aca="false">H30*A_INPUT!$B$105/12</f>
        <v>0</v>
      </c>
      <c r="J30" s="45" t="n">
        <f aca="false">IF(H30&lt;=0,0,MIN(H30,C_CALC!$B$72-I30))</f>
        <v>0</v>
      </c>
      <c r="K30" s="45" t="n">
        <f aca="false">MAX(0,H30-J30)</f>
        <v>0</v>
      </c>
      <c r="L30" s="45" t="n">
        <f aca="false">F30-G30-I30</f>
        <v>92266.9304061624</v>
      </c>
      <c r="M30" s="45" t="n">
        <f aca="false">MAX(0,L30)*A_INPUT!$B$109</f>
        <v>18453.3860812325</v>
      </c>
      <c r="N30" s="45" t="n">
        <f aca="false">L30-M30</f>
        <v>73813.5443249299</v>
      </c>
      <c r="O30" s="45" t="n">
        <f aca="false">IF(A30=A_INPUT!$B$112*12,MAX(0,C_CALC!$B$66*(1-A30/12/A_INPUT!$B$107))+MAX(0,C_CALC!$B$67*(1-A30/12/A_INPUT!$B$108))+C_CALC!$B$68+A_INPUT!$B$50,0)</f>
        <v>0</v>
      </c>
      <c r="P30" s="45" t="n">
        <f aca="false">F30-M30+O30</f>
        <v>88830.4193249299</v>
      </c>
      <c r="Q30" s="45" t="n">
        <f aca="false">Q29+P30</f>
        <v>628246.095335333</v>
      </c>
      <c r="R30" s="45" t="n">
        <f aca="false">N30+G30-J30+O30</f>
        <v>88830.4193249299</v>
      </c>
      <c r="S30" s="75" t="n">
        <f aca="false">1/(1+A_INPUT!$B$110/12)^A30</f>
        <v>0.826237955906191</v>
      </c>
      <c r="T30" s="45" t="n">
        <f aca="false">P30*S30</f>
        <v>73395.0640853199</v>
      </c>
      <c r="U30" s="45" t="n">
        <f aca="false">U29+T30</f>
        <v>440144.033755833</v>
      </c>
      <c r="W30" s="76" t="n">
        <f aca="false">IF(AND(Q30&gt;=0,Q29&lt;0),A30,0)</f>
        <v>0</v>
      </c>
      <c r="X30" s="76" t="n">
        <f aca="false">IF(AND(U30&gt;=0,U29&lt;0),A30,0)</f>
        <v>0</v>
      </c>
    </row>
    <row r="31" customFormat="false" ht="15" hidden="false" customHeight="false" outlineLevel="0" collapsed="false">
      <c r="A31" s="77" t="n">
        <v>24</v>
      </c>
      <c r="B31" s="77" t="n">
        <f aca="false">ROUNDUP(A31/12,0)</f>
        <v>2</v>
      </c>
      <c r="C31" s="78" t="n">
        <f aca="false">IF(A31&gt;A_INPUT!$B$112*12,0,C_CALC!$B$43*(1+A_INPUT!$B$111)^(B31-1))</f>
        <v>215912.394957983</v>
      </c>
      <c r="D31" s="78" t="n">
        <f aca="false">-C31*C_CALC!$B$57</f>
        <v>-61795.2562184874</v>
      </c>
      <c r="E31" s="78" t="n">
        <f aca="false">IF(A31&gt;A_INPUT!$B$112*12,0,-((A_INPUT!$B$87-A_INPUT!$B$77)-IF(B31=1,F_SERVICE!$B$32,0)+A_INPUT!$B$77*(1+A_INPUT!$B$78)^(B31-1)))</f>
        <v>-46833.3333333333</v>
      </c>
      <c r="F31" s="78" t="n">
        <f aca="false">C31+D31+E31</f>
        <v>107283.805406162</v>
      </c>
      <c r="G31" s="78" t="n">
        <f aca="false">IF(A31&gt;A_INPUT!$B$112*12,0,IF(A31&lt;=A_INPUT!$B$107*12,IFERROR(C_CALC!$B$66/A_INPUT!$B$107/12,0),0)+IF(A31&lt;=A_INPUT!$B$108*12,IFERROR(C_CALC!$B$67/A_INPUT!$B$108/12,0),0))</f>
        <v>15016.875</v>
      </c>
      <c r="H31" s="78" t="n">
        <f aca="false">K30</f>
        <v>0</v>
      </c>
      <c r="I31" s="78" t="n">
        <f aca="false">H31*A_INPUT!$B$105/12</f>
        <v>0</v>
      </c>
      <c r="J31" s="78" t="n">
        <f aca="false">IF(H31&lt;=0,0,MIN(H31,C_CALC!$B$72-I31))</f>
        <v>0</v>
      </c>
      <c r="K31" s="78" t="n">
        <f aca="false">MAX(0,H31-J31)</f>
        <v>0</v>
      </c>
      <c r="L31" s="78" t="n">
        <f aca="false">F31-G31-I31</f>
        <v>92266.9304061624</v>
      </c>
      <c r="M31" s="78" t="n">
        <f aca="false">MAX(0,L31)*A_INPUT!$B$109</f>
        <v>18453.3860812325</v>
      </c>
      <c r="N31" s="78" t="n">
        <f aca="false">L31-M31</f>
        <v>73813.5443249299</v>
      </c>
      <c r="O31" s="78" t="n">
        <f aca="false">IF(A31=A_INPUT!$B$112*12,MAX(0,C_CALC!$B$66*(1-A31/12/A_INPUT!$B$107))+MAX(0,C_CALC!$B$67*(1-A31/12/A_INPUT!$B$108))+C_CALC!$B$68+A_INPUT!$B$50,0)</f>
        <v>0</v>
      </c>
      <c r="P31" s="78" t="n">
        <f aca="false">F31-M31+O31</f>
        <v>88830.4193249299</v>
      </c>
      <c r="Q31" s="78" t="n">
        <f aca="false">Q30+P31</f>
        <v>717076.514660263</v>
      </c>
      <c r="R31" s="78" t="n">
        <f aca="false">N31+G31-J31+O31</f>
        <v>88830.4193249299</v>
      </c>
      <c r="S31" s="79" t="n">
        <f aca="false">1/(1+A_INPUT!$B$110/12)^A31</f>
        <v>0.819409543047462</v>
      </c>
      <c r="T31" s="78" t="n">
        <f aca="false">P31*S31</f>
        <v>72788.4933077553</v>
      </c>
      <c r="U31" s="78" t="n">
        <f aca="false">U30+T31</f>
        <v>512932.527063589</v>
      </c>
      <c r="W31" s="76" t="n">
        <f aca="false">IF(AND(Q31&gt;=0,Q30&lt;0),A31,0)</f>
        <v>0</v>
      </c>
      <c r="X31" s="76" t="n">
        <f aca="false">IF(AND(U31&gt;=0,U30&lt;0),A31,0)</f>
        <v>0</v>
      </c>
    </row>
    <row r="32" customFormat="false" ht="15" hidden="false" customHeight="false" outlineLevel="0" collapsed="false">
      <c r="A32" s="73" t="n">
        <v>25</v>
      </c>
      <c r="B32" s="73" t="n">
        <f aca="false">ROUNDUP(A32/12,0)</f>
        <v>3</v>
      </c>
      <c r="C32" s="45" t="n">
        <f aca="false">IF(A32&gt;A_INPUT!$B$112*12,0,C_CALC!$B$43*(1+A_INPUT!$B$111)^(B32-1))</f>
        <v>226708.014705882</v>
      </c>
      <c r="D32" s="45" t="n">
        <f aca="false">-C32*C_CALC!$B$57</f>
        <v>-64885.0190294118</v>
      </c>
      <c r="E32" s="45" t="n">
        <f aca="false">IF(A32&gt;A_INPUT!$B$112*12,0,-((A_INPUT!$B$87-A_INPUT!$B$77)-IF(B32=1,F_SERVICE!$B$32,0)+A_INPUT!$B$77*(1+A_INPUT!$B$78)^(B32-1)))</f>
        <v>-48145.8333333333</v>
      </c>
      <c r="F32" s="45" t="n">
        <f aca="false">C32+D32+E32</f>
        <v>113677.162343137</v>
      </c>
      <c r="G32" s="45" t="n">
        <f aca="false">IF(A32&gt;A_INPUT!$B$112*12,0,IF(A32&lt;=A_INPUT!$B$107*12,IFERROR(C_CALC!$B$66/A_INPUT!$B$107/12,0),0)+IF(A32&lt;=A_INPUT!$B$108*12,IFERROR(C_CALC!$B$67/A_INPUT!$B$108/12,0),0))</f>
        <v>15016.875</v>
      </c>
      <c r="H32" s="45" t="n">
        <f aca="false">K31</f>
        <v>0</v>
      </c>
      <c r="I32" s="45" t="n">
        <f aca="false">H32*A_INPUT!$B$105/12</f>
        <v>0</v>
      </c>
      <c r="J32" s="45" t="n">
        <f aca="false">IF(H32&lt;=0,0,MIN(H32,C_CALC!$B$72-I32))</f>
        <v>0</v>
      </c>
      <c r="K32" s="45" t="n">
        <f aca="false">MAX(0,H32-J32)</f>
        <v>0</v>
      </c>
      <c r="L32" s="45" t="n">
        <f aca="false">F32-G32-I32</f>
        <v>98660.2873431372</v>
      </c>
      <c r="M32" s="45" t="n">
        <f aca="false">MAX(0,L32)*A_INPUT!$B$109</f>
        <v>19732.0574686275</v>
      </c>
      <c r="N32" s="45" t="n">
        <f aca="false">L32-M32</f>
        <v>78928.2298745098</v>
      </c>
      <c r="O32" s="45" t="n">
        <f aca="false">IF(A32=A_INPUT!$B$112*12,MAX(0,C_CALC!$B$66*(1-A32/12/A_INPUT!$B$107))+MAX(0,C_CALC!$B$67*(1-A32/12/A_INPUT!$B$108))+C_CALC!$B$68+A_INPUT!$B$50,0)</f>
        <v>0</v>
      </c>
      <c r="P32" s="45" t="n">
        <f aca="false">F32-M32+O32</f>
        <v>93945.1048745098</v>
      </c>
      <c r="Q32" s="45" t="n">
        <f aca="false">Q31+P32</f>
        <v>811021.619534773</v>
      </c>
      <c r="R32" s="45" t="n">
        <f aca="false">N32+G32-J32+O32</f>
        <v>93945.1048745098</v>
      </c>
      <c r="S32" s="75" t="n">
        <f aca="false">1/(1+A_INPUT!$B$110/12)^A32</f>
        <v>0.812637563352855</v>
      </c>
      <c r="T32" s="45" t="n">
        <f aca="false">P32*S32</f>
        <v>76343.3211141501</v>
      </c>
      <c r="U32" s="45" t="n">
        <f aca="false">U31+T32</f>
        <v>589275.848177739</v>
      </c>
      <c r="W32" s="76" t="n">
        <f aca="false">IF(AND(Q32&gt;=0,Q31&lt;0),A32,0)</f>
        <v>0</v>
      </c>
      <c r="X32" s="76" t="n">
        <f aca="false">IF(AND(U32&gt;=0,U31&lt;0),A32,0)</f>
        <v>0</v>
      </c>
    </row>
    <row r="33" customFormat="false" ht="15" hidden="false" customHeight="false" outlineLevel="0" collapsed="false">
      <c r="A33" s="73" t="n">
        <v>26</v>
      </c>
      <c r="B33" s="73" t="n">
        <f aca="false">ROUNDUP(A33/12,0)</f>
        <v>3</v>
      </c>
      <c r="C33" s="45" t="n">
        <f aca="false">IF(A33&gt;A_INPUT!$B$112*12,0,C_CALC!$B$43*(1+A_INPUT!$B$111)^(B33-1))</f>
        <v>226708.014705882</v>
      </c>
      <c r="D33" s="45" t="n">
        <f aca="false">-C33*C_CALC!$B$57</f>
        <v>-64885.0190294118</v>
      </c>
      <c r="E33" s="45" t="n">
        <f aca="false">IF(A33&gt;A_INPUT!$B$112*12,0,-((A_INPUT!$B$87-A_INPUT!$B$77)-IF(B33=1,F_SERVICE!$B$32,0)+A_INPUT!$B$77*(1+A_INPUT!$B$78)^(B33-1)))</f>
        <v>-48145.8333333333</v>
      </c>
      <c r="F33" s="45" t="n">
        <f aca="false">C33+D33+E33</f>
        <v>113677.162343137</v>
      </c>
      <c r="G33" s="45" t="n">
        <f aca="false">IF(A33&gt;A_INPUT!$B$112*12,0,IF(A33&lt;=A_INPUT!$B$107*12,IFERROR(C_CALC!$B$66/A_INPUT!$B$107/12,0),0)+IF(A33&lt;=A_INPUT!$B$108*12,IFERROR(C_CALC!$B$67/A_INPUT!$B$108/12,0),0))</f>
        <v>15016.875</v>
      </c>
      <c r="H33" s="45" t="n">
        <f aca="false">K32</f>
        <v>0</v>
      </c>
      <c r="I33" s="45" t="n">
        <f aca="false">H33*A_INPUT!$B$105/12</f>
        <v>0</v>
      </c>
      <c r="J33" s="45" t="n">
        <f aca="false">IF(H33&lt;=0,0,MIN(H33,C_CALC!$B$72-I33))</f>
        <v>0</v>
      </c>
      <c r="K33" s="45" t="n">
        <f aca="false">MAX(0,H33-J33)</f>
        <v>0</v>
      </c>
      <c r="L33" s="45" t="n">
        <f aca="false">F33-G33-I33</f>
        <v>98660.2873431372</v>
      </c>
      <c r="M33" s="45" t="n">
        <f aca="false">MAX(0,L33)*A_INPUT!$B$109</f>
        <v>19732.0574686275</v>
      </c>
      <c r="N33" s="45" t="n">
        <f aca="false">L33-M33</f>
        <v>78928.2298745098</v>
      </c>
      <c r="O33" s="45" t="n">
        <f aca="false">IF(A33=A_INPUT!$B$112*12,MAX(0,C_CALC!$B$66*(1-A33/12/A_INPUT!$B$107))+MAX(0,C_CALC!$B$67*(1-A33/12/A_INPUT!$B$108))+C_CALC!$B$68+A_INPUT!$B$50,0)</f>
        <v>0</v>
      </c>
      <c r="P33" s="45" t="n">
        <f aca="false">F33-M33+O33</f>
        <v>93945.1048745098</v>
      </c>
      <c r="Q33" s="45" t="n">
        <f aca="false">Q32+P33</f>
        <v>904966.724409283</v>
      </c>
      <c r="R33" s="45" t="n">
        <f aca="false">N33+G33-J33+O33</f>
        <v>93945.1048745098</v>
      </c>
      <c r="S33" s="75" t="n">
        <f aca="false">1/(1+A_INPUT!$B$110/12)^A33</f>
        <v>0.805921550432584</v>
      </c>
      <c r="T33" s="45" t="n">
        <f aca="false">P33*S33</f>
        <v>75712.3845760166</v>
      </c>
      <c r="U33" s="45" t="n">
        <f aca="false">U32+T33</f>
        <v>664988.232753755</v>
      </c>
      <c r="W33" s="76" t="n">
        <f aca="false">IF(AND(Q33&gt;=0,Q32&lt;0),A33,0)</f>
        <v>0</v>
      </c>
      <c r="X33" s="76" t="n">
        <f aca="false">IF(AND(U33&gt;=0,U32&lt;0),A33,0)</f>
        <v>0</v>
      </c>
    </row>
    <row r="34" customFormat="false" ht="15" hidden="false" customHeight="false" outlineLevel="0" collapsed="false">
      <c r="A34" s="73" t="n">
        <v>27</v>
      </c>
      <c r="B34" s="73" t="n">
        <f aca="false">ROUNDUP(A34/12,0)</f>
        <v>3</v>
      </c>
      <c r="C34" s="45" t="n">
        <f aca="false">IF(A34&gt;A_INPUT!$B$112*12,0,C_CALC!$B$43*(1+A_INPUT!$B$111)^(B34-1))</f>
        <v>226708.014705882</v>
      </c>
      <c r="D34" s="45" t="n">
        <f aca="false">-C34*C_CALC!$B$57</f>
        <v>-64885.0190294118</v>
      </c>
      <c r="E34" s="45" t="n">
        <f aca="false">IF(A34&gt;A_INPUT!$B$112*12,0,-((A_INPUT!$B$87-A_INPUT!$B$77)-IF(B34=1,F_SERVICE!$B$32,0)+A_INPUT!$B$77*(1+A_INPUT!$B$78)^(B34-1)))</f>
        <v>-48145.8333333333</v>
      </c>
      <c r="F34" s="45" t="n">
        <f aca="false">C34+D34+E34</f>
        <v>113677.162343137</v>
      </c>
      <c r="G34" s="45" t="n">
        <f aca="false">IF(A34&gt;A_INPUT!$B$112*12,0,IF(A34&lt;=A_INPUT!$B$107*12,IFERROR(C_CALC!$B$66/A_INPUT!$B$107/12,0),0)+IF(A34&lt;=A_INPUT!$B$108*12,IFERROR(C_CALC!$B$67/A_INPUT!$B$108/12,0),0))</f>
        <v>15016.875</v>
      </c>
      <c r="H34" s="45" t="n">
        <f aca="false">K33</f>
        <v>0</v>
      </c>
      <c r="I34" s="45" t="n">
        <f aca="false">H34*A_INPUT!$B$105/12</f>
        <v>0</v>
      </c>
      <c r="J34" s="45" t="n">
        <f aca="false">IF(H34&lt;=0,0,MIN(H34,C_CALC!$B$72-I34))</f>
        <v>0</v>
      </c>
      <c r="K34" s="45" t="n">
        <f aca="false">MAX(0,H34-J34)</f>
        <v>0</v>
      </c>
      <c r="L34" s="45" t="n">
        <f aca="false">F34-G34-I34</f>
        <v>98660.2873431372</v>
      </c>
      <c r="M34" s="45" t="n">
        <f aca="false">MAX(0,L34)*A_INPUT!$B$109</f>
        <v>19732.0574686275</v>
      </c>
      <c r="N34" s="45" t="n">
        <f aca="false">L34-M34</f>
        <v>78928.2298745098</v>
      </c>
      <c r="O34" s="45" t="n">
        <f aca="false">IF(A34=A_INPUT!$B$112*12,MAX(0,C_CALC!$B$66*(1-A34/12/A_INPUT!$B$107))+MAX(0,C_CALC!$B$67*(1-A34/12/A_INPUT!$B$108))+C_CALC!$B$68+A_INPUT!$B$50,0)</f>
        <v>0</v>
      </c>
      <c r="P34" s="45" t="n">
        <f aca="false">F34-M34+O34</f>
        <v>93945.1048745098</v>
      </c>
      <c r="Q34" s="45" t="n">
        <f aca="false">Q33+P34</f>
        <v>998911.829283792</v>
      </c>
      <c r="R34" s="45" t="n">
        <f aca="false">N34+G34-J34+O34</f>
        <v>93945.1048745098</v>
      </c>
      <c r="S34" s="75" t="n">
        <f aca="false">1/(1+A_INPUT!$B$110/12)^A34</f>
        <v>0.799261041751323</v>
      </c>
      <c r="T34" s="45" t="n">
        <f aca="false">P34*S34</f>
        <v>75086.6623894379</v>
      </c>
      <c r="U34" s="45" t="n">
        <f aca="false">U33+T34</f>
        <v>740074.895143193</v>
      </c>
      <c r="W34" s="76" t="n">
        <f aca="false">IF(AND(Q34&gt;=0,Q33&lt;0),A34,0)</f>
        <v>0</v>
      </c>
      <c r="X34" s="76" t="n">
        <f aca="false">IF(AND(U34&gt;=0,U33&lt;0),A34,0)</f>
        <v>0</v>
      </c>
    </row>
    <row r="35" customFormat="false" ht="15" hidden="false" customHeight="false" outlineLevel="0" collapsed="false">
      <c r="A35" s="73" t="n">
        <v>28</v>
      </c>
      <c r="B35" s="73" t="n">
        <f aca="false">ROUNDUP(A35/12,0)</f>
        <v>3</v>
      </c>
      <c r="C35" s="45" t="n">
        <f aca="false">IF(A35&gt;A_INPUT!$B$112*12,0,C_CALC!$B$43*(1+A_INPUT!$B$111)^(B35-1))</f>
        <v>226708.014705882</v>
      </c>
      <c r="D35" s="45" t="n">
        <f aca="false">-C35*C_CALC!$B$57</f>
        <v>-64885.0190294118</v>
      </c>
      <c r="E35" s="45" t="n">
        <f aca="false">IF(A35&gt;A_INPUT!$B$112*12,0,-((A_INPUT!$B$87-A_INPUT!$B$77)-IF(B35=1,F_SERVICE!$B$32,0)+A_INPUT!$B$77*(1+A_INPUT!$B$78)^(B35-1)))</f>
        <v>-48145.8333333333</v>
      </c>
      <c r="F35" s="45" t="n">
        <f aca="false">C35+D35+E35</f>
        <v>113677.162343137</v>
      </c>
      <c r="G35" s="45" t="n">
        <f aca="false">IF(A35&gt;A_INPUT!$B$112*12,0,IF(A35&lt;=A_INPUT!$B$107*12,IFERROR(C_CALC!$B$66/A_INPUT!$B$107/12,0),0)+IF(A35&lt;=A_INPUT!$B$108*12,IFERROR(C_CALC!$B$67/A_INPUT!$B$108/12,0),0))</f>
        <v>15016.875</v>
      </c>
      <c r="H35" s="45" t="n">
        <f aca="false">K34</f>
        <v>0</v>
      </c>
      <c r="I35" s="45" t="n">
        <f aca="false">H35*A_INPUT!$B$105/12</f>
        <v>0</v>
      </c>
      <c r="J35" s="45" t="n">
        <f aca="false">IF(H35&lt;=0,0,MIN(H35,C_CALC!$B$72-I35))</f>
        <v>0</v>
      </c>
      <c r="K35" s="45" t="n">
        <f aca="false">MAX(0,H35-J35)</f>
        <v>0</v>
      </c>
      <c r="L35" s="45" t="n">
        <f aca="false">F35-G35-I35</f>
        <v>98660.2873431372</v>
      </c>
      <c r="M35" s="45" t="n">
        <f aca="false">MAX(0,L35)*A_INPUT!$B$109</f>
        <v>19732.0574686275</v>
      </c>
      <c r="N35" s="45" t="n">
        <f aca="false">L35-M35</f>
        <v>78928.2298745098</v>
      </c>
      <c r="O35" s="45" t="n">
        <f aca="false">IF(A35=A_INPUT!$B$112*12,MAX(0,C_CALC!$B$66*(1-A35/12/A_INPUT!$B$107))+MAX(0,C_CALC!$B$67*(1-A35/12/A_INPUT!$B$108))+C_CALC!$B$68+A_INPUT!$B$50,0)</f>
        <v>0</v>
      </c>
      <c r="P35" s="45" t="n">
        <f aca="false">F35-M35+O35</f>
        <v>93945.1048745098</v>
      </c>
      <c r="Q35" s="45" t="n">
        <f aca="false">Q34+P35</f>
        <v>1092856.9341583</v>
      </c>
      <c r="R35" s="45" t="n">
        <f aca="false">N35+G35-J35+O35</f>
        <v>93945.1048745098</v>
      </c>
      <c r="S35" s="75" t="n">
        <f aca="false">1/(1+A_INPUT!$B$110/12)^A35</f>
        <v>0.792655578596353</v>
      </c>
      <c r="T35" s="45" t="n">
        <f aca="false">P35*S35</f>
        <v>74466.1114605996</v>
      </c>
      <c r="U35" s="45" t="n">
        <f aca="false">U34+T35</f>
        <v>814541.006603793</v>
      </c>
      <c r="W35" s="76" t="n">
        <f aca="false">IF(AND(Q35&gt;=0,Q34&lt;0),A35,0)</f>
        <v>0</v>
      </c>
      <c r="X35" s="76" t="n">
        <f aca="false">IF(AND(U35&gt;=0,U34&lt;0),A35,0)</f>
        <v>0</v>
      </c>
    </row>
    <row r="36" customFormat="false" ht="15" hidden="false" customHeight="false" outlineLevel="0" collapsed="false">
      <c r="A36" s="73" t="n">
        <v>29</v>
      </c>
      <c r="B36" s="73" t="n">
        <f aca="false">ROUNDUP(A36/12,0)</f>
        <v>3</v>
      </c>
      <c r="C36" s="45" t="n">
        <f aca="false">IF(A36&gt;A_INPUT!$B$112*12,0,C_CALC!$B$43*(1+A_INPUT!$B$111)^(B36-1))</f>
        <v>226708.014705882</v>
      </c>
      <c r="D36" s="45" t="n">
        <f aca="false">-C36*C_CALC!$B$57</f>
        <v>-64885.0190294118</v>
      </c>
      <c r="E36" s="45" t="n">
        <f aca="false">IF(A36&gt;A_INPUT!$B$112*12,0,-((A_INPUT!$B$87-A_INPUT!$B$77)-IF(B36=1,F_SERVICE!$B$32,0)+A_INPUT!$B$77*(1+A_INPUT!$B$78)^(B36-1)))</f>
        <v>-48145.8333333333</v>
      </c>
      <c r="F36" s="45" t="n">
        <f aca="false">C36+D36+E36</f>
        <v>113677.162343137</v>
      </c>
      <c r="G36" s="45" t="n">
        <f aca="false">IF(A36&gt;A_INPUT!$B$112*12,0,IF(A36&lt;=A_INPUT!$B$107*12,IFERROR(C_CALC!$B$66/A_INPUT!$B$107/12,0),0)+IF(A36&lt;=A_INPUT!$B$108*12,IFERROR(C_CALC!$B$67/A_INPUT!$B$108/12,0),0))</f>
        <v>15016.875</v>
      </c>
      <c r="H36" s="45" t="n">
        <f aca="false">K35</f>
        <v>0</v>
      </c>
      <c r="I36" s="45" t="n">
        <f aca="false">H36*A_INPUT!$B$105/12</f>
        <v>0</v>
      </c>
      <c r="J36" s="45" t="n">
        <f aca="false">IF(H36&lt;=0,0,MIN(H36,C_CALC!$B$72-I36))</f>
        <v>0</v>
      </c>
      <c r="K36" s="45" t="n">
        <f aca="false">MAX(0,H36-J36)</f>
        <v>0</v>
      </c>
      <c r="L36" s="45" t="n">
        <f aca="false">F36-G36-I36</f>
        <v>98660.2873431372</v>
      </c>
      <c r="M36" s="45" t="n">
        <f aca="false">MAX(0,L36)*A_INPUT!$B$109</f>
        <v>19732.0574686275</v>
      </c>
      <c r="N36" s="45" t="n">
        <f aca="false">L36-M36</f>
        <v>78928.2298745098</v>
      </c>
      <c r="O36" s="45" t="n">
        <f aca="false">IF(A36=A_INPUT!$B$112*12,MAX(0,C_CALC!$B$66*(1-A36/12/A_INPUT!$B$107))+MAX(0,C_CALC!$B$67*(1-A36/12/A_INPUT!$B$108))+C_CALC!$B$68+A_INPUT!$B$50,0)</f>
        <v>0</v>
      </c>
      <c r="P36" s="45" t="n">
        <f aca="false">F36-M36+O36</f>
        <v>93945.1048745098</v>
      </c>
      <c r="Q36" s="45" t="n">
        <f aca="false">Q35+P36</f>
        <v>1186802.03903281</v>
      </c>
      <c r="R36" s="45" t="n">
        <f aca="false">N36+G36-J36+O36</f>
        <v>93945.1048745098</v>
      </c>
      <c r="S36" s="75" t="n">
        <f aca="false">1/(1+A_INPUT!$B$110/12)^A36</f>
        <v>0.78610470604597</v>
      </c>
      <c r="T36" s="45" t="n">
        <f aca="false">P36*S36</f>
        <v>73850.6890518343</v>
      </c>
      <c r="U36" s="45" t="n">
        <f aca="false">U35+T36</f>
        <v>888391.695655627</v>
      </c>
      <c r="W36" s="76" t="n">
        <f aca="false">IF(AND(Q36&gt;=0,Q35&lt;0),A36,0)</f>
        <v>0</v>
      </c>
      <c r="X36" s="76" t="n">
        <f aca="false">IF(AND(U36&gt;=0,U35&lt;0),A36,0)</f>
        <v>0</v>
      </c>
    </row>
    <row r="37" customFormat="false" ht="15" hidden="false" customHeight="false" outlineLevel="0" collapsed="false">
      <c r="A37" s="73" t="n">
        <v>30</v>
      </c>
      <c r="B37" s="73" t="n">
        <f aca="false">ROUNDUP(A37/12,0)</f>
        <v>3</v>
      </c>
      <c r="C37" s="45" t="n">
        <f aca="false">IF(A37&gt;A_INPUT!$B$112*12,0,C_CALC!$B$43*(1+A_INPUT!$B$111)^(B37-1))</f>
        <v>226708.014705882</v>
      </c>
      <c r="D37" s="45" t="n">
        <f aca="false">-C37*C_CALC!$B$57</f>
        <v>-64885.0190294118</v>
      </c>
      <c r="E37" s="45" t="n">
        <f aca="false">IF(A37&gt;A_INPUT!$B$112*12,0,-((A_INPUT!$B$87-A_INPUT!$B$77)-IF(B37=1,F_SERVICE!$B$32,0)+A_INPUT!$B$77*(1+A_INPUT!$B$78)^(B37-1)))</f>
        <v>-48145.8333333333</v>
      </c>
      <c r="F37" s="45" t="n">
        <f aca="false">C37+D37+E37</f>
        <v>113677.162343137</v>
      </c>
      <c r="G37" s="45" t="n">
        <f aca="false">IF(A37&gt;A_INPUT!$B$112*12,0,IF(A37&lt;=A_INPUT!$B$107*12,IFERROR(C_CALC!$B$66/A_INPUT!$B$107/12,0),0)+IF(A37&lt;=A_INPUT!$B$108*12,IFERROR(C_CALC!$B$67/A_INPUT!$B$108/12,0),0))</f>
        <v>15016.875</v>
      </c>
      <c r="H37" s="45" t="n">
        <f aca="false">K36</f>
        <v>0</v>
      </c>
      <c r="I37" s="45" t="n">
        <f aca="false">H37*A_INPUT!$B$105/12</f>
        <v>0</v>
      </c>
      <c r="J37" s="45" t="n">
        <f aca="false">IF(H37&lt;=0,0,MIN(H37,C_CALC!$B$72-I37))</f>
        <v>0</v>
      </c>
      <c r="K37" s="45" t="n">
        <f aca="false">MAX(0,H37-J37)</f>
        <v>0</v>
      </c>
      <c r="L37" s="45" t="n">
        <f aca="false">F37-G37-I37</f>
        <v>98660.2873431372</v>
      </c>
      <c r="M37" s="45" t="n">
        <f aca="false">MAX(0,L37)*A_INPUT!$B$109</f>
        <v>19732.0574686275</v>
      </c>
      <c r="N37" s="45" t="n">
        <f aca="false">L37-M37</f>
        <v>78928.2298745098</v>
      </c>
      <c r="O37" s="45" t="n">
        <f aca="false">IF(A37=A_INPUT!$B$112*12,MAX(0,C_CALC!$B$66*(1-A37/12/A_INPUT!$B$107))+MAX(0,C_CALC!$B$67*(1-A37/12/A_INPUT!$B$108))+C_CALC!$B$68+A_INPUT!$B$50,0)</f>
        <v>0</v>
      </c>
      <c r="P37" s="45" t="n">
        <f aca="false">F37-M37+O37</f>
        <v>93945.1048745098</v>
      </c>
      <c r="Q37" s="45" t="n">
        <f aca="false">Q36+P37</f>
        <v>1280747.14390732</v>
      </c>
      <c r="R37" s="45" t="n">
        <f aca="false">N37+G37-J37+O37</f>
        <v>93945.1048745098</v>
      </c>
      <c r="S37" s="75" t="n">
        <f aca="false">1/(1+A_INPUT!$B$110/12)^A37</f>
        <v>0.779607972938152</v>
      </c>
      <c r="T37" s="45" t="n">
        <f aca="false">P37*S37</f>
        <v>73240.3527786787</v>
      </c>
      <c r="U37" s="45" t="n">
        <f aca="false">U36+T37</f>
        <v>961632.048434306</v>
      </c>
      <c r="W37" s="76" t="n">
        <f aca="false">IF(AND(Q37&gt;=0,Q36&lt;0),A37,0)</f>
        <v>0</v>
      </c>
      <c r="X37" s="76" t="n">
        <f aca="false">IF(AND(U37&gt;=0,U36&lt;0),A37,0)</f>
        <v>0</v>
      </c>
    </row>
    <row r="38" customFormat="false" ht="15" hidden="false" customHeight="false" outlineLevel="0" collapsed="false">
      <c r="A38" s="73" t="n">
        <v>31</v>
      </c>
      <c r="B38" s="73" t="n">
        <f aca="false">ROUNDUP(A38/12,0)</f>
        <v>3</v>
      </c>
      <c r="C38" s="45" t="n">
        <f aca="false">IF(A38&gt;A_INPUT!$B$112*12,0,C_CALC!$B$43*(1+A_INPUT!$B$111)^(B38-1))</f>
        <v>226708.014705882</v>
      </c>
      <c r="D38" s="45" t="n">
        <f aca="false">-C38*C_CALC!$B$57</f>
        <v>-64885.0190294118</v>
      </c>
      <c r="E38" s="45" t="n">
        <f aca="false">IF(A38&gt;A_INPUT!$B$112*12,0,-((A_INPUT!$B$87-A_INPUT!$B$77)-IF(B38=1,F_SERVICE!$B$32,0)+A_INPUT!$B$77*(1+A_INPUT!$B$78)^(B38-1)))</f>
        <v>-48145.8333333333</v>
      </c>
      <c r="F38" s="45" t="n">
        <f aca="false">C38+D38+E38</f>
        <v>113677.162343137</v>
      </c>
      <c r="G38" s="45" t="n">
        <f aca="false">IF(A38&gt;A_INPUT!$B$112*12,0,IF(A38&lt;=A_INPUT!$B$107*12,IFERROR(C_CALC!$B$66/A_INPUT!$B$107/12,0),0)+IF(A38&lt;=A_INPUT!$B$108*12,IFERROR(C_CALC!$B$67/A_INPUT!$B$108/12,0),0))</f>
        <v>15016.875</v>
      </c>
      <c r="H38" s="45" t="n">
        <f aca="false">K37</f>
        <v>0</v>
      </c>
      <c r="I38" s="45" t="n">
        <f aca="false">H38*A_INPUT!$B$105/12</f>
        <v>0</v>
      </c>
      <c r="J38" s="45" t="n">
        <f aca="false">IF(H38&lt;=0,0,MIN(H38,C_CALC!$B$72-I38))</f>
        <v>0</v>
      </c>
      <c r="K38" s="45" t="n">
        <f aca="false">MAX(0,H38-J38)</f>
        <v>0</v>
      </c>
      <c r="L38" s="45" t="n">
        <f aca="false">F38-G38-I38</f>
        <v>98660.2873431372</v>
      </c>
      <c r="M38" s="45" t="n">
        <f aca="false">MAX(0,L38)*A_INPUT!$B$109</f>
        <v>19732.0574686275</v>
      </c>
      <c r="N38" s="45" t="n">
        <f aca="false">L38-M38</f>
        <v>78928.2298745098</v>
      </c>
      <c r="O38" s="45" t="n">
        <f aca="false">IF(A38=A_INPUT!$B$112*12,MAX(0,C_CALC!$B$66*(1-A38/12/A_INPUT!$B$107))+MAX(0,C_CALC!$B$67*(1-A38/12/A_INPUT!$B$108))+C_CALC!$B$68+A_INPUT!$B$50,0)</f>
        <v>0</v>
      </c>
      <c r="P38" s="45" t="n">
        <f aca="false">F38-M38+O38</f>
        <v>93945.1048745098</v>
      </c>
      <c r="Q38" s="45" t="n">
        <f aca="false">Q37+P38</f>
        <v>1374692.24878183</v>
      </c>
      <c r="R38" s="45" t="n">
        <f aca="false">N38+G38-J38+O38</f>
        <v>93945.1048745098</v>
      </c>
      <c r="S38" s="75" t="n">
        <f aca="false">1/(1+A_INPUT!$B$110/12)^A38</f>
        <v>0.77316493183949</v>
      </c>
      <c r="T38" s="45" t="n">
        <f aca="false">P38*S38</f>
        <v>72635.0606069541</v>
      </c>
      <c r="U38" s="45" t="n">
        <f aca="false">U37+T38</f>
        <v>1034267.10904126</v>
      </c>
      <c r="W38" s="76" t="n">
        <f aca="false">IF(AND(Q38&gt;=0,Q37&lt;0),A38,0)</f>
        <v>0</v>
      </c>
      <c r="X38" s="76" t="n">
        <f aca="false">IF(AND(U38&gt;=0,U37&lt;0),A38,0)</f>
        <v>0</v>
      </c>
    </row>
    <row r="39" customFormat="false" ht="15" hidden="false" customHeight="false" outlineLevel="0" collapsed="false">
      <c r="A39" s="73" t="n">
        <v>32</v>
      </c>
      <c r="B39" s="73" t="n">
        <f aca="false">ROUNDUP(A39/12,0)</f>
        <v>3</v>
      </c>
      <c r="C39" s="45" t="n">
        <f aca="false">IF(A39&gt;A_INPUT!$B$112*12,0,C_CALC!$B$43*(1+A_INPUT!$B$111)^(B39-1))</f>
        <v>226708.014705882</v>
      </c>
      <c r="D39" s="45" t="n">
        <f aca="false">-C39*C_CALC!$B$57</f>
        <v>-64885.0190294118</v>
      </c>
      <c r="E39" s="45" t="n">
        <f aca="false">IF(A39&gt;A_INPUT!$B$112*12,0,-((A_INPUT!$B$87-A_INPUT!$B$77)-IF(B39=1,F_SERVICE!$B$32,0)+A_INPUT!$B$77*(1+A_INPUT!$B$78)^(B39-1)))</f>
        <v>-48145.8333333333</v>
      </c>
      <c r="F39" s="45" t="n">
        <f aca="false">C39+D39+E39</f>
        <v>113677.162343137</v>
      </c>
      <c r="G39" s="45" t="n">
        <f aca="false">IF(A39&gt;A_INPUT!$B$112*12,0,IF(A39&lt;=A_INPUT!$B$107*12,IFERROR(C_CALC!$B$66/A_INPUT!$B$107/12,0),0)+IF(A39&lt;=A_INPUT!$B$108*12,IFERROR(C_CALC!$B$67/A_INPUT!$B$108/12,0),0))</f>
        <v>15016.875</v>
      </c>
      <c r="H39" s="45" t="n">
        <f aca="false">K38</f>
        <v>0</v>
      </c>
      <c r="I39" s="45" t="n">
        <f aca="false">H39*A_INPUT!$B$105/12</f>
        <v>0</v>
      </c>
      <c r="J39" s="45" t="n">
        <f aca="false">IF(H39&lt;=0,0,MIN(H39,C_CALC!$B$72-I39))</f>
        <v>0</v>
      </c>
      <c r="K39" s="45" t="n">
        <f aca="false">MAX(0,H39-J39)</f>
        <v>0</v>
      </c>
      <c r="L39" s="45" t="n">
        <f aca="false">F39-G39-I39</f>
        <v>98660.2873431372</v>
      </c>
      <c r="M39" s="45" t="n">
        <f aca="false">MAX(0,L39)*A_INPUT!$B$109</f>
        <v>19732.0574686275</v>
      </c>
      <c r="N39" s="45" t="n">
        <f aca="false">L39-M39</f>
        <v>78928.2298745098</v>
      </c>
      <c r="O39" s="45" t="n">
        <f aca="false">IF(A39=A_INPUT!$B$112*12,MAX(0,C_CALC!$B$66*(1-A39/12/A_INPUT!$B$107))+MAX(0,C_CALC!$B$67*(1-A39/12/A_INPUT!$B$108))+C_CALC!$B$68+A_INPUT!$B$50,0)</f>
        <v>0</v>
      </c>
      <c r="P39" s="45" t="n">
        <f aca="false">F39-M39+O39</f>
        <v>93945.1048745098</v>
      </c>
      <c r="Q39" s="45" t="n">
        <f aca="false">Q38+P39</f>
        <v>1468637.35365634</v>
      </c>
      <c r="R39" s="45" t="n">
        <f aca="false">N39+G39-J39+O39</f>
        <v>93945.1048745098</v>
      </c>
      <c r="S39" s="75" t="n">
        <f aca="false">1/(1+A_INPUT!$B$110/12)^A39</f>
        <v>0.76677513901437</v>
      </c>
      <c r="T39" s="45" t="n">
        <f aca="false">P39*S39</f>
        <v>72034.7708498718</v>
      </c>
      <c r="U39" s="45" t="n">
        <f aca="false">U38+T39</f>
        <v>1106301.87989113</v>
      </c>
      <c r="W39" s="76" t="n">
        <f aca="false">IF(AND(Q39&gt;=0,Q38&lt;0),A39,0)</f>
        <v>0</v>
      </c>
      <c r="X39" s="76" t="n">
        <f aca="false">IF(AND(U39&gt;=0,U38&lt;0),A39,0)</f>
        <v>0</v>
      </c>
    </row>
    <row r="40" customFormat="false" ht="15" hidden="false" customHeight="false" outlineLevel="0" collapsed="false">
      <c r="A40" s="73" t="n">
        <v>33</v>
      </c>
      <c r="B40" s="73" t="n">
        <f aca="false">ROUNDUP(A40/12,0)</f>
        <v>3</v>
      </c>
      <c r="C40" s="45" t="n">
        <f aca="false">IF(A40&gt;A_INPUT!$B$112*12,0,C_CALC!$B$43*(1+A_INPUT!$B$111)^(B40-1))</f>
        <v>226708.014705882</v>
      </c>
      <c r="D40" s="45" t="n">
        <f aca="false">-C40*C_CALC!$B$57</f>
        <v>-64885.0190294118</v>
      </c>
      <c r="E40" s="45" t="n">
        <f aca="false">IF(A40&gt;A_INPUT!$B$112*12,0,-((A_INPUT!$B$87-A_INPUT!$B$77)-IF(B40=1,F_SERVICE!$B$32,0)+A_INPUT!$B$77*(1+A_INPUT!$B$78)^(B40-1)))</f>
        <v>-48145.8333333333</v>
      </c>
      <c r="F40" s="45" t="n">
        <f aca="false">C40+D40+E40</f>
        <v>113677.162343137</v>
      </c>
      <c r="G40" s="45" t="n">
        <f aca="false">IF(A40&gt;A_INPUT!$B$112*12,0,IF(A40&lt;=A_INPUT!$B$107*12,IFERROR(C_CALC!$B$66/A_INPUT!$B$107/12,0),0)+IF(A40&lt;=A_INPUT!$B$108*12,IFERROR(C_CALC!$B$67/A_INPUT!$B$108/12,0),0))</f>
        <v>15016.875</v>
      </c>
      <c r="H40" s="45" t="n">
        <f aca="false">K39</f>
        <v>0</v>
      </c>
      <c r="I40" s="45" t="n">
        <f aca="false">H40*A_INPUT!$B$105/12</f>
        <v>0</v>
      </c>
      <c r="J40" s="45" t="n">
        <f aca="false">IF(H40&lt;=0,0,MIN(H40,C_CALC!$B$72-I40))</f>
        <v>0</v>
      </c>
      <c r="K40" s="45" t="n">
        <f aca="false">MAX(0,H40-J40)</f>
        <v>0</v>
      </c>
      <c r="L40" s="45" t="n">
        <f aca="false">F40-G40-I40</f>
        <v>98660.2873431372</v>
      </c>
      <c r="M40" s="45" t="n">
        <f aca="false">MAX(0,L40)*A_INPUT!$B$109</f>
        <v>19732.0574686275</v>
      </c>
      <c r="N40" s="45" t="n">
        <f aca="false">L40-M40</f>
        <v>78928.2298745098</v>
      </c>
      <c r="O40" s="45" t="n">
        <f aca="false">IF(A40=A_INPUT!$B$112*12,MAX(0,C_CALC!$B$66*(1-A40/12/A_INPUT!$B$107))+MAX(0,C_CALC!$B$67*(1-A40/12/A_INPUT!$B$108))+C_CALC!$B$68+A_INPUT!$B$50,0)</f>
        <v>0</v>
      </c>
      <c r="P40" s="45" t="n">
        <f aca="false">F40-M40+O40</f>
        <v>93945.1048745098</v>
      </c>
      <c r="Q40" s="45" t="n">
        <f aca="false">Q39+P40</f>
        <v>1562582.45853085</v>
      </c>
      <c r="R40" s="45" t="n">
        <f aca="false">N40+G40-J40+O40</f>
        <v>93945.1048745098</v>
      </c>
      <c r="S40" s="75" t="n">
        <f aca="false">1/(1+A_INPUT!$B$110/12)^A40</f>
        <v>0.760438154394416</v>
      </c>
      <c r="T40" s="45" t="n">
        <f aca="false">P40*S40</f>
        <v>71439.4421651621</v>
      </c>
      <c r="U40" s="45" t="n">
        <f aca="false">U39+T40</f>
        <v>1177741.32205629</v>
      </c>
      <c r="W40" s="76" t="n">
        <f aca="false">IF(AND(Q40&gt;=0,Q39&lt;0),A40,0)</f>
        <v>0</v>
      </c>
      <c r="X40" s="76" t="n">
        <f aca="false">IF(AND(U40&gt;=0,U39&lt;0),A40,0)</f>
        <v>0</v>
      </c>
    </row>
    <row r="41" customFormat="false" ht="15" hidden="false" customHeight="false" outlineLevel="0" collapsed="false">
      <c r="A41" s="73" t="n">
        <v>34</v>
      </c>
      <c r="B41" s="73" t="n">
        <f aca="false">ROUNDUP(A41/12,0)</f>
        <v>3</v>
      </c>
      <c r="C41" s="45" t="n">
        <f aca="false">IF(A41&gt;A_INPUT!$B$112*12,0,C_CALC!$B$43*(1+A_INPUT!$B$111)^(B41-1))</f>
        <v>226708.014705882</v>
      </c>
      <c r="D41" s="45" t="n">
        <f aca="false">-C41*C_CALC!$B$57</f>
        <v>-64885.0190294118</v>
      </c>
      <c r="E41" s="45" t="n">
        <f aca="false">IF(A41&gt;A_INPUT!$B$112*12,0,-((A_INPUT!$B$87-A_INPUT!$B$77)-IF(B41=1,F_SERVICE!$B$32,0)+A_INPUT!$B$77*(1+A_INPUT!$B$78)^(B41-1)))</f>
        <v>-48145.8333333333</v>
      </c>
      <c r="F41" s="45" t="n">
        <f aca="false">C41+D41+E41</f>
        <v>113677.162343137</v>
      </c>
      <c r="G41" s="45" t="n">
        <f aca="false">IF(A41&gt;A_INPUT!$B$112*12,0,IF(A41&lt;=A_INPUT!$B$107*12,IFERROR(C_CALC!$B$66/A_INPUT!$B$107/12,0),0)+IF(A41&lt;=A_INPUT!$B$108*12,IFERROR(C_CALC!$B$67/A_INPUT!$B$108/12,0),0))</f>
        <v>15016.875</v>
      </c>
      <c r="H41" s="45" t="n">
        <f aca="false">K40</f>
        <v>0</v>
      </c>
      <c r="I41" s="45" t="n">
        <f aca="false">H41*A_INPUT!$B$105/12</f>
        <v>0</v>
      </c>
      <c r="J41" s="45" t="n">
        <f aca="false">IF(H41&lt;=0,0,MIN(H41,C_CALC!$B$72-I41))</f>
        <v>0</v>
      </c>
      <c r="K41" s="45" t="n">
        <f aca="false">MAX(0,H41-J41)</f>
        <v>0</v>
      </c>
      <c r="L41" s="45" t="n">
        <f aca="false">F41-G41-I41</f>
        <v>98660.2873431372</v>
      </c>
      <c r="M41" s="45" t="n">
        <f aca="false">MAX(0,L41)*A_INPUT!$B$109</f>
        <v>19732.0574686275</v>
      </c>
      <c r="N41" s="45" t="n">
        <f aca="false">L41-M41</f>
        <v>78928.2298745098</v>
      </c>
      <c r="O41" s="45" t="n">
        <f aca="false">IF(A41=A_INPUT!$B$112*12,MAX(0,C_CALC!$B$66*(1-A41/12/A_INPUT!$B$107))+MAX(0,C_CALC!$B$67*(1-A41/12/A_INPUT!$B$108))+C_CALC!$B$68+A_INPUT!$B$50,0)</f>
        <v>0</v>
      </c>
      <c r="P41" s="45" t="n">
        <f aca="false">F41-M41+O41</f>
        <v>93945.1048745098</v>
      </c>
      <c r="Q41" s="45" t="n">
        <f aca="false">Q40+P41</f>
        <v>1656527.56340536</v>
      </c>
      <c r="R41" s="45" t="n">
        <f aca="false">N41+G41-J41+O41</f>
        <v>93945.1048745098</v>
      </c>
      <c r="S41" s="75" t="n">
        <f aca="false">1/(1+A_INPUT!$B$110/12)^A41</f>
        <v>0.754153541548182</v>
      </c>
      <c r="T41" s="45" t="n">
        <f aca="false">P41*S41</f>
        <v>70849.0335522269</v>
      </c>
      <c r="U41" s="45" t="n">
        <f aca="false">U40+T41</f>
        <v>1248590.35560852</v>
      </c>
      <c r="W41" s="76" t="n">
        <f aca="false">IF(AND(Q41&gt;=0,Q40&lt;0),A41,0)</f>
        <v>0</v>
      </c>
      <c r="X41" s="76" t="n">
        <f aca="false">IF(AND(U41&gt;=0,U40&lt;0),A41,0)</f>
        <v>0</v>
      </c>
    </row>
    <row r="42" customFormat="false" ht="15" hidden="false" customHeight="false" outlineLevel="0" collapsed="false">
      <c r="A42" s="73" t="n">
        <v>35</v>
      </c>
      <c r="B42" s="73" t="n">
        <f aca="false">ROUNDUP(A42/12,0)</f>
        <v>3</v>
      </c>
      <c r="C42" s="45" t="n">
        <f aca="false">IF(A42&gt;A_INPUT!$B$112*12,0,C_CALC!$B$43*(1+A_INPUT!$B$111)^(B42-1))</f>
        <v>226708.014705882</v>
      </c>
      <c r="D42" s="45" t="n">
        <f aca="false">-C42*C_CALC!$B$57</f>
        <v>-64885.0190294118</v>
      </c>
      <c r="E42" s="45" t="n">
        <f aca="false">IF(A42&gt;A_INPUT!$B$112*12,0,-((A_INPUT!$B$87-A_INPUT!$B$77)-IF(B42=1,F_SERVICE!$B$32,0)+A_INPUT!$B$77*(1+A_INPUT!$B$78)^(B42-1)))</f>
        <v>-48145.8333333333</v>
      </c>
      <c r="F42" s="45" t="n">
        <f aca="false">C42+D42+E42</f>
        <v>113677.162343137</v>
      </c>
      <c r="G42" s="45" t="n">
        <f aca="false">IF(A42&gt;A_INPUT!$B$112*12,0,IF(A42&lt;=A_INPUT!$B$107*12,IFERROR(C_CALC!$B$66/A_INPUT!$B$107/12,0),0)+IF(A42&lt;=A_INPUT!$B$108*12,IFERROR(C_CALC!$B$67/A_INPUT!$B$108/12,0),0))</f>
        <v>15016.875</v>
      </c>
      <c r="H42" s="45" t="n">
        <f aca="false">K41</f>
        <v>0</v>
      </c>
      <c r="I42" s="45" t="n">
        <f aca="false">H42*A_INPUT!$B$105/12</f>
        <v>0</v>
      </c>
      <c r="J42" s="45" t="n">
        <f aca="false">IF(H42&lt;=0,0,MIN(H42,C_CALC!$B$72-I42))</f>
        <v>0</v>
      </c>
      <c r="K42" s="45" t="n">
        <f aca="false">MAX(0,H42-J42)</f>
        <v>0</v>
      </c>
      <c r="L42" s="45" t="n">
        <f aca="false">F42-G42-I42</f>
        <v>98660.2873431372</v>
      </c>
      <c r="M42" s="45" t="n">
        <f aca="false">MAX(0,L42)*A_INPUT!$B$109</f>
        <v>19732.0574686275</v>
      </c>
      <c r="N42" s="45" t="n">
        <f aca="false">L42-M42</f>
        <v>78928.2298745098</v>
      </c>
      <c r="O42" s="45" t="n">
        <f aca="false">IF(A42=A_INPUT!$B$112*12,MAX(0,C_CALC!$B$66*(1-A42/12/A_INPUT!$B$107))+MAX(0,C_CALC!$B$67*(1-A42/12/A_INPUT!$B$108))+C_CALC!$B$68+A_INPUT!$B$50,0)</f>
        <v>0</v>
      </c>
      <c r="P42" s="45" t="n">
        <f aca="false">F42-M42+O42</f>
        <v>93945.1048745098</v>
      </c>
      <c r="Q42" s="45" t="n">
        <f aca="false">Q41+P42</f>
        <v>1750472.66827987</v>
      </c>
      <c r="R42" s="45" t="n">
        <f aca="false">N42+G42-J42+O42</f>
        <v>93945.1048745098</v>
      </c>
      <c r="S42" s="75" t="n">
        <f aca="false">1/(1+A_INPUT!$B$110/12)^A42</f>
        <v>0.747920867651089</v>
      </c>
      <c r="T42" s="45" t="n">
        <f aca="false">P42*S42</f>
        <v>70263.5043493159</v>
      </c>
      <c r="U42" s="45" t="n">
        <f aca="false">U41+T42</f>
        <v>1318853.85995784</v>
      </c>
      <c r="W42" s="76" t="n">
        <f aca="false">IF(AND(Q42&gt;=0,Q41&lt;0),A42,0)</f>
        <v>0</v>
      </c>
      <c r="X42" s="76" t="n">
        <f aca="false">IF(AND(U42&gt;=0,U41&lt;0),A42,0)</f>
        <v>0</v>
      </c>
    </row>
    <row r="43" customFormat="false" ht="15" hidden="false" customHeight="false" outlineLevel="0" collapsed="false">
      <c r="A43" s="77" t="n">
        <v>36</v>
      </c>
      <c r="B43" s="77" t="n">
        <f aca="false">ROUNDUP(A43/12,0)</f>
        <v>3</v>
      </c>
      <c r="C43" s="78" t="n">
        <f aca="false">IF(A43&gt;A_INPUT!$B$112*12,0,C_CALC!$B$43*(1+A_INPUT!$B$111)^(B43-1))</f>
        <v>226708.014705882</v>
      </c>
      <c r="D43" s="78" t="n">
        <f aca="false">-C43*C_CALC!$B$57</f>
        <v>-64885.0190294118</v>
      </c>
      <c r="E43" s="78" t="n">
        <f aca="false">IF(A43&gt;A_INPUT!$B$112*12,0,-((A_INPUT!$B$87-A_INPUT!$B$77)-IF(B43=1,F_SERVICE!$B$32,0)+A_INPUT!$B$77*(1+A_INPUT!$B$78)^(B43-1)))</f>
        <v>-48145.8333333333</v>
      </c>
      <c r="F43" s="78" t="n">
        <f aca="false">C43+D43+E43</f>
        <v>113677.162343137</v>
      </c>
      <c r="G43" s="78" t="n">
        <f aca="false">IF(A43&gt;A_INPUT!$B$112*12,0,IF(A43&lt;=A_INPUT!$B$107*12,IFERROR(C_CALC!$B$66/A_INPUT!$B$107/12,0),0)+IF(A43&lt;=A_INPUT!$B$108*12,IFERROR(C_CALC!$B$67/A_INPUT!$B$108/12,0),0))</f>
        <v>15016.875</v>
      </c>
      <c r="H43" s="78" t="n">
        <f aca="false">K42</f>
        <v>0</v>
      </c>
      <c r="I43" s="78" t="n">
        <f aca="false">H43*A_INPUT!$B$105/12</f>
        <v>0</v>
      </c>
      <c r="J43" s="78" t="n">
        <f aca="false">IF(H43&lt;=0,0,MIN(H43,C_CALC!$B$72-I43))</f>
        <v>0</v>
      </c>
      <c r="K43" s="78" t="n">
        <f aca="false">MAX(0,H43-J43)</f>
        <v>0</v>
      </c>
      <c r="L43" s="78" t="n">
        <f aca="false">F43-G43-I43</f>
        <v>98660.2873431372</v>
      </c>
      <c r="M43" s="78" t="n">
        <f aca="false">MAX(0,L43)*A_INPUT!$B$109</f>
        <v>19732.0574686275</v>
      </c>
      <c r="N43" s="78" t="n">
        <f aca="false">L43-M43</f>
        <v>78928.2298745098</v>
      </c>
      <c r="O43" s="78" t="n">
        <f aca="false">IF(A43=A_INPUT!$B$112*12,MAX(0,C_CALC!$B$66*(1-A43/12/A_INPUT!$B$107))+MAX(0,C_CALC!$B$67*(1-A43/12/A_INPUT!$B$108))+C_CALC!$B$68+A_INPUT!$B$50,0)</f>
        <v>0</v>
      </c>
      <c r="P43" s="78" t="n">
        <f aca="false">F43-M43+O43</f>
        <v>93945.1048745098</v>
      </c>
      <c r="Q43" s="78" t="n">
        <f aca="false">Q42+P43</f>
        <v>1844417.77315438</v>
      </c>
      <c r="R43" s="78" t="n">
        <f aca="false">N43+G43-J43+O43</f>
        <v>93945.1048745098</v>
      </c>
      <c r="S43" s="79" t="n">
        <f aca="false">1/(1+A_INPUT!$B$110/12)^A43</f>
        <v>0.741739703455626</v>
      </c>
      <c r="T43" s="78" t="n">
        <f aca="false">P43*S43</f>
        <v>69682.8142307265</v>
      </c>
      <c r="U43" s="78" t="n">
        <f aca="false">U42+T43</f>
        <v>1388536.67418856</v>
      </c>
      <c r="W43" s="76" t="n">
        <f aca="false">IF(AND(Q43&gt;=0,Q42&lt;0),A43,0)</f>
        <v>0</v>
      </c>
      <c r="X43" s="76" t="n">
        <f aca="false">IF(AND(U43&gt;=0,U42&lt;0),A43,0)</f>
        <v>0</v>
      </c>
    </row>
    <row r="44" customFormat="false" ht="15" hidden="false" customHeight="false" outlineLevel="0" collapsed="false">
      <c r="A44" s="73" t="n">
        <v>37</v>
      </c>
      <c r="B44" s="73" t="n">
        <f aca="false">ROUNDUP(A44/12,0)</f>
        <v>4</v>
      </c>
      <c r="C44" s="45" t="n">
        <f aca="false">IF(A44&gt;A_INPUT!$B$112*12,0,C_CALC!$B$43*(1+A_INPUT!$B$111)^(B44-1))</f>
        <v>238043.415441176</v>
      </c>
      <c r="D44" s="45" t="n">
        <f aca="false">-C44*C_CALC!$B$57</f>
        <v>-68129.2699808823</v>
      </c>
      <c r="E44" s="45" t="n">
        <f aca="false">IF(A44&gt;A_INPUT!$B$112*12,0,-((A_INPUT!$B$87-A_INPUT!$B$77)-IF(B44=1,F_SERVICE!$B$32,0)+A_INPUT!$B$77*(1+A_INPUT!$B$78)^(B44-1)))</f>
        <v>-49523.9583333333</v>
      </c>
      <c r="F44" s="45" t="n">
        <f aca="false">C44+D44+E44</f>
        <v>120390.187126961</v>
      </c>
      <c r="G44" s="45" t="n">
        <f aca="false">IF(A44&gt;A_INPUT!$B$112*12,0,IF(A44&lt;=A_INPUT!$B$107*12,IFERROR(C_CALC!$B$66/A_INPUT!$B$107/12,0),0)+IF(A44&lt;=A_INPUT!$B$108*12,IFERROR(C_CALC!$B$67/A_INPUT!$B$108/12,0),0))</f>
        <v>15016.875</v>
      </c>
      <c r="H44" s="45" t="n">
        <f aca="false">K43</f>
        <v>0</v>
      </c>
      <c r="I44" s="45" t="n">
        <f aca="false">H44*A_INPUT!$B$105/12</f>
        <v>0</v>
      </c>
      <c r="J44" s="45" t="n">
        <f aca="false">IF(H44&lt;=0,0,MIN(H44,C_CALC!$B$72-I44))</f>
        <v>0</v>
      </c>
      <c r="K44" s="45" t="n">
        <f aca="false">MAX(0,H44-J44)</f>
        <v>0</v>
      </c>
      <c r="L44" s="45" t="n">
        <f aca="false">F44-G44-I44</f>
        <v>105373.312126961</v>
      </c>
      <c r="M44" s="45" t="n">
        <f aca="false">MAX(0,L44)*A_INPUT!$B$109</f>
        <v>21074.6624253922</v>
      </c>
      <c r="N44" s="45" t="n">
        <f aca="false">L44-M44</f>
        <v>84298.6497015686</v>
      </c>
      <c r="O44" s="45" t="n">
        <f aca="false">IF(A44=A_INPUT!$B$112*12,MAX(0,C_CALC!$B$66*(1-A44/12/A_INPUT!$B$107))+MAX(0,C_CALC!$B$67*(1-A44/12/A_INPUT!$B$108))+C_CALC!$B$68+A_INPUT!$B$50,0)</f>
        <v>0</v>
      </c>
      <c r="P44" s="45" t="n">
        <f aca="false">F44-M44+O44</f>
        <v>99315.5247015686</v>
      </c>
      <c r="Q44" s="45" t="n">
        <f aca="false">Q43+P44</f>
        <v>1943733.29785595</v>
      </c>
      <c r="R44" s="45" t="n">
        <f aca="false">N44+G44-J44+O44</f>
        <v>99315.5247015686</v>
      </c>
      <c r="S44" s="75" t="n">
        <f aca="false">1/(1+A_INPUT!$B$110/12)^A44</f>
        <v>0.735609623261778</v>
      </c>
      <c r="T44" s="45" t="n">
        <f aca="false">P44*S44</f>
        <v>73057.4557097666</v>
      </c>
      <c r="U44" s="45" t="n">
        <f aca="false">U43+T44</f>
        <v>1461594.12989833</v>
      </c>
      <c r="W44" s="76" t="n">
        <f aca="false">IF(AND(Q44&gt;=0,Q43&lt;0),A44,0)</f>
        <v>0</v>
      </c>
      <c r="X44" s="76" t="n">
        <f aca="false">IF(AND(U44&gt;=0,U43&lt;0),A44,0)</f>
        <v>0</v>
      </c>
    </row>
    <row r="45" customFormat="false" ht="15" hidden="false" customHeight="false" outlineLevel="0" collapsed="false">
      <c r="A45" s="73" t="n">
        <v>38</v>
      </c>
      <c r="B45" s="73" t="n">
        <f aca="false">ROUNDUP(A45/12,0)</f>
        <v>4</v>
      </c>
      <c r="C45" s="45" t="n">
        <f aca="false">IF(A45&gt;A_INPUT!$B$112*12,0,C_CALC!$B$43*(1+A_INPUT!$B$111)^(B45-1))</f>
        <v>238043.415441176</v>
      </c>
      <c r="D45" s="45" t="n">
        <f aca="false">-C45*C_CALC!$B$57</f>
        <v>-68129.2699808823</v>
      </c>
      <c r="E45" s="45" t="n">
        <f aca="false">IF(A45&gt;A_INPUT!$B$112*12,0,-((A_INPUT!$B$87-A_INPUT!$B$77)-IF(B45=1,F_SERVICE!$B$32,0)+A_INPUT!$B$77*(1+A_INPUT!$B$78)^(B45-1)))</f>
        <v>-49523.9583333333</v>
      </c>
      <c r="F45" s="45" t="n">
        <f aca="false">C45+D45+E45</f>
        <v>120390.187126961</v>
      </c>
      <c r="G45" s="45" t="n">
        <f aca="false">IF(A45&gt;A_INPUT!$B$112*12,0,IF(A45&lt;=A_INPUT!$B$107*12,IFERROR(C_CALC!$B$66/A_INPUT!$B$107/12,0),0)+IF(A45&lt;=A_INPUT!$B$108*12,IFERROR(C_CALC!$B$67/A_INPUT!$B$108/12,0),0))</f>
        <v>15016.875</v>
      </c>
      <c r="H45" s="45" t="n">
        <f aca="false">K44</f>
        <v>0</v>
      </c>
      <c r="I45" s="45" t="n">
        <f aca="false">H45*A_INPUT!$B$105/12</f>
        <v>0</v>
      </c>
      <c r="J45" s="45" t="n">
        <f aca="false">IF(H45&lt;=0,0,MIN(H45,C_CALC!$B$72-I45))</f>
        <v>0</v>
      </c>
      <c r="K45" s="45" t="n">
        <f aca="false">MAX(0,H45-J45)</f>
        <v>0</v>
      </c>
      <c r="L45" s="45" t="n">
        <f aca="false">F45-G45-I45</f>
        <v>105373.312126961</v>
      </c>
      <c r="M45" s="45" t="n">
        <f aca="false">MAX(0,L45)*A_INPUT!$B$109</f>
        <v>21074.6624253922</v>
      </c>
      <c r="N45" s="45" t="n">
        <f aca="false">L45-M45</f>
        <v>84298.6497015686</v>
      </c>
      <c r="O45" s="45" t="n">
        <f aca="false">IF(A45=A_INPUT!$B$112*12,MAX(0,C_CALC!$B$66*(1-A45/12/A_INPUT!$B$107))+MAX(0,C_CALC!$B$67*(1-A45/12/A_INPUT!$B$108))+C_CALC!$B$68+A_INPUT!$B$50,0)</f>
        <v>0</v>
      </c>
      <c r="P45" s="45" t="n">
        <f aca="false">F45-M45+O45</f>
        <v>99315.5247015686</v>
      </c>
      <c r="Q45" s="45" t="n">
        <f aca="false">Q44+P45</f>
        <v>2043048.82255752</v>
      </c>
      <c r="R45" s="45" t="n">
        <f aca="false">N45+G45-J45+O45</f>
        <v>99315.5247015686</v>
      </c>
      <c r="S45" s="75" t="n">
        <f aca="false">1/(1+A_INPUT!$B$110/12)^A45</f>
        <v>0.729530204887713</v>
      </c>
      <c r="T45" s="45" t="n">
        <f aca="false">P45*S45</f>
        <v>72453.6750840661</v>
      </c>
      <c r="U45" s="45" t="n">
        <f aca="false">U44+T45</f>
        <v>1534047.8049824</v>
      </c>
      <c r="W45" s="76" t="n">
        <f aca="false">IF(AND(Q45&gt;=0,Q44&lt;0),A45,0)</f>
        <v>0</v>
      </c>
      <c r="X45" s="76" t="n">
        <f aca="false">IF(AND(U45&gt;=0,U44&lt;0),A45,0)</f>
        <v>0</v>
      </c>
    </row>
    <row r="46" customFormat="false" ht="15" hidden="false" customHeight="false" outlineLevel="0" collapsed="false">
      <c r="A46" s="73" t="n">
        <v>39</v>
      </c>
      <c r="B46" s="73" t="n">
        <f aca="false">ROUNDUP(A46/12,0)</f>
        <v>4</v>
      </c>
      <c r="C46" s="45" t="n">
        <f aca="false">IF(A46&gt;A_INPUT!$B$112*12,0,C_CALC!$B$43*(1+A_INPUT!$B$111)^(B46-1))</f>
        <v>238043.415441176</v>
      </c>
      <c r="D46" s="45" t="n">
        <f aca="false">-C46*C_CALC!$B$57</f>
        <v>-68129.2699808823</v>
      </c>
      <c r="E46" s="45" t="n">
        <f aca="false">IF(A46&gt;A_INPUT!$B$112*12,0,-((A_INPUT!$B$87-A_INPUT!$B$77)-IF(B46=1,F_SERVICE!$B$32,0)+A_INPUT!$B$77*(1+A_INPUT!$B$78)^(B46-1)))</f>
        <v>-49523.9583333333</v>
      </c>
      <c r="F46" s="45" t="n">
        <f aca="false">C46+D46+E46</f>
        <v>120390.187126961</v>
      </c>
      <c r="G46" s="45" t="n">
        <f aca="false">IF(A46&gt;A_INPUT!$B$112*12,0,IF(A46&lt;=A_INPUT!$B$107*12,IFERROR(C_CALC!$B$66/A_INPUT!$B$107/12,0),0)+IF(A46&lt;=A_INPUT!$B$108*12,IFERROR(C_CALC!$B$67/A_INPUT!$B$108/12,0),0))</f>
        <v>15016.875</v>
      </c>
      <c r="H46" s="45" t="n">
        <f aca="false">K45</f>
        <v>0</v>
      </c>
      <c r="I46" s="45" t="n">
        <f aca="false">H46*A_INPUT!$B$105/12</f>
        <v>0</v>
      </c>
      <c r="J46" s="45" t="n">
        <f aca="false">IF(H46&lt;=0,0,MIN(H46,C_CALC!$B$72-I46))</f>
        <v>0</v>
      </c>
      <c r="K46" s="45" t="n">
        <f aca="false">MAX(0,H46-J46)</f>
        <v>0</v>
      </c>
      <c r="L46" s="45" t="n">
        <f aca="false">F46-G46-I46</f>
        <v>105373.312126961</v>
      </c>
      <c r="M46" s="45" t="n">
        <f aca="false">MAX(0,L46)*A_INPUT!$B$109</f>
        <v>21074.6624253922</v>
      </c>
      <c r="N46" s="45" t="n">
        <f aca="false">L46-M46</f>
        <v>84298.6497015686</v>
      </c>
      <c r="O46" s="45" t="n">
        <f aca="false">IF(A46=A_INPUT!$B$112*12,MAX(0,C_CALC!$B$66*(1-A46/12/A_INPUT!$B$107))+MAX(0,C_CALC!$B$67*(1-A46/12/A_INPUT!$B$108))+C_CALC!$B$68+A_INPUT!$B$50,0)</f>
        <v>0</v>
      </c>
      <c r="P46" s="45" t="n">
        <f aca="false">F46-M46+O46</f>
        <v>99315.5247015686</v>
      </c>
      <c r="Q46" s="45" t="n">
        <f aca="false">Q45+P46</f>
        <v>2142364.34725909</v>
      </c>
      <c r="R46" s="45" t="n">
        <f aca="false">N46+G46-J46+O46</f>
        <v>99315.5247015686</v>
      </c>
      <c r="S46" s="75" t="n">
        <f aca="false">1/(1+A_INPUT!$B$110/12)^A46</f>
        <v>0.723501029640707</v>
      </c>
      <c r="T46" s="45" t="n">
        <f aca="false">P46*S46</f>
        <v>71854.884380892</v>
      </c>
      <c r="U46" s="45" t="n">
        <f aca="false">U45+T46</f>
        <v>1605902.68936329</v>
      </c>
      <c r="W46" s="76" t="n">
        <f aca="false">IF(AND(Q46&gt;=0,Q45&lt;0),A46,0)</f>
        <v>0</v>
      </c>
      <c r="X46" s="76" t="n">
        <f aca="false">IF(AND(U46&gt;=0,U45&lt;0),A46,0)</f>
        <v>0</v>
      </c>
    </row>
    <row r="47" customFormat="false" ht="15" hidden="false" customHeight="false" outlineLevel="0" collapsed="false">
      <c r="A47" s="73" t="n">
        <v>40</v>
      </c>
      <c r="B47" s="73" t="n">
        <f aca="false">ROUNDUP(A47/12,0)</f>
        <v>4</v>
      </c>
      <c r="C47" s="45" t="n">
        <f aca="false">IF(A47&gt;A_INPUT!$B$112*12,0,C_CALC!$B$43*(1+A_INPUT!$B$111)^(B47-1))</f>
        <v>238043.415441176</v>
      </c>
      <c r="D47" s="45" t="n">
        <f aca="false">-C47*C_CALC!$B$57</f>
        <v>-68129.2699808823</v>
      </c>
      <c r="E47" s="45" t="n">
        <f aca="false">IF(A47&gt;A_INPUT!$B$112*12,0,-((A_INPUT!$B$87-A_INPUT!$B$77)-IF(B47=1,F_SERVICE!$B$32,0)+A_INPUT!$B$77*(1+A_INPUT!$B$78)^(B47-1)))</f>
        <v>-49523.9583333333</v>
      </c>
      <c r="F47" s="45" t="n">
        <f aca="false">C47+D47+E47</f>
        <v>120390.187126961</v>
      </c>
      <c r="G47" s="45" t="n">
        <f aca="false">IF(A47&gt;A_INPUT!$B$112*12,0,IF(A47&lt;=A_INPUT!$B$107*12,IFERROR(C_CALC!$B$66/A_INPUT!$B$107/12,0),0)+IF(A47&lt;=A_INPUT!$B$108*12,IFERROR(C_CALC!$B$67/A_INPUT!$B$108/12,0),0))</f>
        <v>15016.875</v>
      </c>
      <c r="H47" s="45" t="n">
        <f aca="false">K46</f>
        <v>0</v>
      </c>
      <c r="I47" s="45" t="n">
        <f aca="false">H47*A_INPUT!$B$105/12</f>
        <v>0</v>
      </c>
      <c r="J47" s="45" t="n">
        <f aca="false">IF(H47&lt;=0,0,MIN(H47,C_CALC!$B$72-I47))</f>
        <v>0</v>
      </c>
      <c r="K47" s="45" t="n">
        <f aca="false">MAX(0,H47-J47)</f>
        <v>0</v>
      </c>
      <c r="L47" s="45" t="n">
        <f aca="false">F47-G47-I47</f>
        <v>105373.312126961</v>
      </c>
      <c r="M47" s="45" t="n">
        <f aca="false">MAX(0,L47)*A_INPUT!$B$109</f>
        <v>21074.6624253922</v>
      </c>
      <c r="N47" s="45" t="n">
        <f aca="false">L47-M47</f>
        <v>84298.6497015686</v>
      </c>
      <c r="O47" s="45" t="n">
        <f aca="false">IF(A47=A_INPUT!$B$112*12,MAX(0,C_CALC!$B$66*(1-A47/12/A_INPUT!$B$107))+MAX(0,C_CALC!$B$67*(1-A47/12/A_INPUT!$B$108))+C_CALC!$B$68+A_INPUT!$B$50,0)</f>
        <v>0</v>
      </c>
      <c r="P47" s="45" t="n">
        <f aca="false">F47-M47+O47</f>
        <v>99315.5247015686</v>
      </c>
      <c r="Q47" s="45" t="n">
        <f aca="false">Q46+P47</f>
        <v>2241679.87196066</v>
      </c>
      <c r="R47" s="45" t="n">
        <f aca="false">N47+G47-J47+O47</f>
        <v>99315.5247015686</v>
      </c>
      <c r="S47" s="75" t="n">
        <f aca="false">1/(1+A_INPUT!$B$110/12)^A47</f>
        <v>0.717521682288305</v>
      </c>
      <c r="T47" s="45" t="n">
        <f aca="false">P47*S47</f>
        <v>71261.0423612152</v>
      </c>
      <c r="U47" s="45" t="n">
        <f aca="false">U46+T47</f>
        <v>1677163.7317245</v>
      </c>
      <c r="W47" s="76" t="n">
        <f aca="false">IF(AND(Q47&gt;=0,Q46&lt;0),A47,0)</f>
        <v>0</v>
      </c>
      <c r="X47" s="76" t="n">
        <f aca="false">IF(AND(U47&gt;=0,U46&lt;0),A47,0)</f>
        <v>0</v>
      </c>
    </row>
    <row r="48" customFormat="false" ht="15" hidden="false" customHeight="false" outlineLevel="0" collapsed="false">
      <c r="A48" s="73" t="n">
        <v>41</v>
      </c>
      <c r="B48" s="73" t="n">
        <f aca="false">ROUNDUP(A48/12,0)</f>
        <v>4</v>
      </c>
      <c r="C48" s="45" t="n">
        <f aca="false">IF(A48&gt;A_INPUT!$B$112*12,0,C_CALC!$B$43*(1+A_INPUT!$B$111)^(B48-1))</f>
        <v>238043.415441176</v>
      </c>
      <c r="D48" s="45" t="n">
        <f aca="false">-C48*C_CALC!$B$57</f>
        <v>-68129.2699808823</v>
      </c>
      <c r="E48" s="45" t="n">
        <f aca="false">IF(A48&gt;A_INPUT!$B$112*12,0,-((A_INPUT!$B$87-A_INPUT!$B$77)-IF(B48=1,F_SERVICE!$B$32,0)+A_INPUT!$B$77*(1+A_INPUT!$B$78)^(B48-1)))</f>
        <v>-49523.9583333333</v>
      </c>
      <c r="F48" s="45" t="n">
        <f aca="false">C48+D48+E48</f>
        <v>120390.187126961</v>
      </c>
      <c r="G48" s="45" t="n">
        <f aca="false">IF(A48&gt;A_INPUT!$B$112*12,0,IF(A48&lt;=A_INPUT!$B$107*12,IFERROR(C_CALC!$B$66/A_INPUT!$B$107/12,0),0)+IF(A48&lt;=A_INPUT!$B$108*12,IFERROR(C_CALC!$B$67/A_INPUT!$B$108/12,0),0))</f>
        <v>15016.875</v>
      </c>
      <c r="H48" s="45" t="n">
        <f aca="false">K47</f>
        <v>0</v>
      </c>
      <c r="I48" s="45" t="n">
        <f aca="false">H48*A_INPUT!$B$105/12</f>
        <v>0</v>
      </c>
      <c r="J48" s="45" t="n">
        <f aca="false">IF(H48&lt;=0,0,MIN(H48,C_CALC!$B$72-I48))</f>
        <v>0</v>
      </c>
      <c r="K48" s="45" t="n">
        <f aca="false">MAX(0,H48-J48)</f>
        <v>0</v>
      </c>
      <c r="L48" s="45" t="n">
        <f aca="false">F48-G48-I48</f>
        <v>105373.312126961</v>
      </c>
      <c r="M48" s="45" t="n">
        <f aca="false">MAX(0,L48)*A_INPUT!$B$109</f>
        <v>21074.6624253922</v>
      </c>
      <c r="N48" s="45" t="n">
        <f aca="false">L48-M48</f>
        <v>84298.6497015686</v>
      </c>
      <c r="O48" s="45" t="n">
        <f aca="false">IF(A48=A_INPUT!$B$112*12,MAX(0,C_CALC!$B$66*(1-A48/12/A_INPUT!$B$107))+MAX(0,C_CALC!$B$67*(1-A48/12/A_INPUT!$B$108))+C_CALC!$B$68+A_INPUT!$B$50,0)</f>
        <v>0</v>
      </c>
      <c r="P48" s="45" t="n">
        <f aca="false">F48-M48+O48</f>
        <v>99315.5247015686</v>
      </c>
      <c r="Q48" s="45" t="n">
        <f aca="false">Q47+P48</f>
        <v>2340995.39666222</v>
      </c>
      <c r="R48" s="45" t="n">
        <f aca="false">N48+G48-J48+O48</f>
        <v>99315.5247015686</v>
      </c>
      <c r="S48" s="75" t="n">
        <f aca="false">1/(1+A_INPUT!$B$110/12)^A48</f>
        <v>0.711591751029724</v>
      </c>
      <c r="T48" s="45" t="n">
        <f aca="false">P48*S48</f>
        <v>70672.108126825</v>
      </c>
      <c r="U48" s="45" t="n">
        <f aca="false">U47+T48</f>
        <v>1747835.83985133</v>
      </c>
      <c r="W48" s="76" t="n">
        <f aca="false">IF(AND(Q48&gt;=0,Q47&lt;0),A48,0)</f>
        <v>0</v>
      </c>
      <c r="X48" s="76" t="n">
        <f aca="false">IF(AND(U48&gt;=0,U47&lt;0),A48,0)</f>
        <v>0</v>
      </c>
    </row>
    <row r="49" customFormat="false" ht="15" hidden="false" customHeight="false" outlineLevel="0" collapsed="false">
      <c r="A49" s="73" t="n">
        <v>42</v>
      </c>
      <c r="B49" s="73" t="n">
        <f aca="false">ROUNDUP(A49/12,0)</f>
        <v>4</v>
      </c>
      <c r="C49" s="45" t="n">
        <f aca="false">IF(A49&gt;A_INPUT!$B$112*12,0,C_CALC!$B$43*(1+A_INPUT!$B$111)^(B49-1))</f>
        <v>238043.415441176</v>
      </c>
      <c r="D49" s="45" t="n">
        <f aca="false">-C49*C_CALC!$B$57</f>
        <v>-68129.2699808823</v>
      </c>
      <c r="E49" s="45" t="n">
        <f aca="false">IF(A49&gt;A_INPUT!$B$112*12,0,-((A_INPUT!$B$87-A_INPUT!$B$77)-IF(B49=1,F_SERVICE!$B$32,0)+A_INPUT!$B$77*(1+A_INPUT!$B$78)^(B49-1)))</f>
        <v>-49523.9583333333</v>
      </c>
      <c r="F49" s="45" t="n">
        <f aca="false">C49+D49+E49</f>
        <v>120390.187126961</v>
      </c>
      <c r="G49" s="45" t="n">
        <f aca="false">IF(A49&gt;A_INPUT!$B$112*12,0,IF(A49&lt;=A_INPUT!$B$107*12,IFERROR(C_CALC!$B$66/A_INPUT!$B$107/12,0),0)+IF(A49&lt;=A_INPUT!$B$108*12,IFERROR(C_CALC!$B$67/A_INPUT!$B$108/12,0),0))</f>
        <v>15016.875</v>
      </c>
      <c r="H49" s="45" t="n">
        <f aca="false">K48</f>
        <v>0</v>
      </c>
      <c r="I49" s="45" t="n">
        <f aca="false">H49*A_INPUT!$B$105/12</f>
        <v>0</v>
      </c>
      <c r="J49" s="45" t="n">
        <f aca="false">IF(H49&lt;=0,0,MIN(H49,C_CALC!$B$72-I49))</f>
        <v>0</v>
      </c>
      <c r="K49" s="45" t="n">
        <f aca="false">MAX(0,H49-J49)</f>
        <v>0</v>
      </c>
      <c r="L49" s="45" t="n">
        <f aca="false">F49-G49-I49</f>
        <v>105373.312126961</v>
      </c>
      <c r="M49" s="45" t="n">
        <f aca="false">MAX(0,L49)*A_INPUT!$B$109</f>
        <v>21074.6624253922</v>
      </c>
      <c r="N49" s="45" t="n">
        <f aca="false">L49-M49</f>
        <v>84298.6497015686</v>
      </c>
      <c r="O49" s="45" t="n">
        <f aca="false">IF(A49=A_INPUT!$B$112*12,MAX(0,C_CALC!$B$66*(1-A49/12/A_INPUT!$B$107))+MAX(0,C_CALC!$B$67*(1-A49/12/A_INPUT!$B$108))+C_CALC!$B$68+A_INPUT!$B$50,0)</f>
        <v>0</v>
      </c>
      <c r="P49" s="45" t="n">
        <f aca="false">F49-M49+O49</f>
        <v>99315.5247015686</v>
      </c>
      <c r="Q49" s="45" t="n">
        <f aca="false">Q48+P49</f>
        <v>2440310.92136379</v>
      </c>
      <c r="R49" s="45" t="n">
        <f aca="false">N49+G49-J49+O49</f>
        <v>99315.5247015686</v>
      </c>
      <c r="S49" s="75" t="n">
        <f aca="false">1/(1+A_INPUT!$B$110/12)^A49</f>
        <v>0.705710827467495</v>
      </c>
      <c r="T49" s="45" t="n">
        <f aca="false">P49*S49</f>
        <v>70088.0411175124</v>
      </c>
      <c r="U49" s="45" t="n">
        <f aca="false">U48+T49</f>
        <v>1817923.88096884</v>
      </c>
      <c r="W49" s="76" t="n">
        <f aca="false">IF(AND(Q49&gt;=0,Q48&lt;0),A49,0)</f>
        <v>0</v>
      </c>
      <c r="X49" s="76" t="n">
        <f aca="false">IF(AND(U49&gt;=0,U48&lt;0),A49,0)</f>
        <v>0</v>
      </c>
    </row>
    <row r="50" customFormat="false" ht="15" hidden="false" customHeight="false" outlineLevel="0" collapsed="false">
      <c r="A50" s="73" t="n">
        <v>43</v>
      </c>
      <c r="B50" s="73" t="n">
        <f aca="false">ROUNDUP(A50/12,0)</f>
        <v>4</v>
      </c>
      <c r="C50" s="45" t="n">
        <f aca="false">IF(A50&gt;A_INPUT!$B$112*12,0,C_CALC!$B$43*(1+A_INPUT!$B$111)^(B50-1))</f>
        <v>238043.415441176</v>
      </c>
      <c r="D50" s="45" t="n">
        <f aca="false">-C50*C_CALC!$B$57</f>
        <v>-68129.2699808823</v>
      </c>
      <c r="E50" s="45" t="n">
        <f aca="false">IF(A50&gt;A_INPUT!$B$112*12,0,-((A_INPUT!$B$87-A_INPUT!$B$77)-IF(B50=1,F_SERVICE!$B$32,0)+A_INPUT!$B$77*(1+A_INPUT!$B$78)^(B50-1)))</f>
        <v>-49523.9583333333</v>
      </c>
      <c r="F50" s="45" t="n">
        <f aca="false">C50+D50+E50</f>
        <v>120390.187126961</v>
      </c>
      <c r="G50" s="45" t="n">
        <f aca="false">IF(A50&gt;A_INPUT!$B$112*12,0,IF(A50&lt;=A_INPUT!$B$107*12,IFERROR(C_CALC!$B$66/A_INPUT!$B$107/12,0),0)+IF(A50&lt;=A_INPUT!$B$108*12,IFERROR(C_CALC!$B$67/A_INPUT!$B$108/12,0),0))</f>
        <v>15016.875</v>
      </c>
      <c r="H50" s="45" t="n">
        <f aca="false">K49</f>
        <v>0</v>
      </c>
      <c r="I50" s="45" t="n">
        <f aca="false">H50*A_INPUT!$B$105/12</f>
        <v>0</v>
      </c>
      <c r="J50" s="45" t="n">
        <f aca="false">IF(H50&lt;=0,0,MIN(H50,C_CALC!$B$72-I50))</f>
        <v>0</v>
      </c>
      <c r="K50" s="45" t="n">
        <f aca="false">MAX(0,H50-J50)</f>
        <v>0</v>
      </c>
      <c r="L50" s="45" t="n">
        <f aca="false">F50-G50-I50</f>
        <v>105373.312126961</v>
      </c>
      <c r="M50" s="45" t="n">
        <f aca="false">MAX(0,L50)*A_INPUT!$B$109</f>
        <v>21074.6624253922</v>
      </c>
      <c r="N50" s="45" t="n">
        <f aca="false">L50-M50</f>
        <v>84298.6497015686</v>
      </c>
      <c r="O50" s="45" t="n">
        <f aca="false">IF(A50=A_INPUT!$B$112*12,MAX(0,C_CALC!$B$66*(1-A50/12/A_INPUT!$B$107))+MAX(0,C_CALC!$B$67*(1-A50/12/A_INPUT!$B$108))+C_CALC!$B$68+A_INPUT!$B$50,0)</f>
        <v>0</v>
      </c>
      <c r="P50" s="45" t="n">
        <f aca="false">F50-M50+O50</f>
        <v>99315.5247015686</v>
      </c>
      <c r="Q50" s="45" t="n">
        <f aca="false">Q49+P50</f>
        <v>2539626.44606536</v>
      </c>
      <c r="R50" s="45" t="n">
        <f aca="false">N50+G50-J50+O50</f>
        <v>99315.5247015686</v>
      </c>
      <c r="S50" s="75" t="n">
        <f aca="false">1/(1+A_INPUT!$B$110/12)^A50</f>
        <v>0.699878506579334</v>
      </c>
      <c r="T50" s="45" t="n">
        <f aca="false">P50*S50</f>
        <v>69508.8011082768</v>
      </c>
      <c r="U50" s="45" t="n">
        <f aca="false">U49+T50</f>
        <v>1887432.68207712</v>
      </c>
      <c r="W50" s="76" t="n">
        <f aca="false">IF(AND(Q50&gt;=0,Q49&lt;0),A50,0)</f>
        <v>0</v>
      </c>
      <c r="X50" s="76" t="n">
        <f aca="false">IF(AND(U50&gt;=0,U49&lt;0),A50,0)</f>
        <v>0</v>
      </c>
    </row>
    <row r="51" customFormat="false" ht="15" hidden="false" customHeight="false" outlineLevel="0" collapsed="false">
      <c r="A51" s="73" t="n">
        <v>44</v>
      </c>
      <c r="B51" s="73" t="n">
        <f aca="false">ROUNDUP(A51/12,0)</f>
        <v>4</v>
      </c>
      <c r="C51" s="45" t="n">
        <f aca="false">IF(A51&gt;A_INPUT!$B$112*12,0,C_CALC!$B$43*(1+A_INPUT!$B$111)^(B51-1))</f>
        <v>238043.415441176</v>
      </c>
      <c r="D51" s="45" t="n">
        <f aca="false">-C51*C_CALC!$B$57</f>
        <v>-68129.2699808823</v>
      </c>
      <c r="E51" s="45" t="n">
        <f aca="false">IF(A51&gt;A_INPUT!$B$112*12,0,-((A_INPUT!$B$87-A_INPUT!$B$77)-IF(B51=1,F_SERVICE!$B$32,0)+A_INPUT!$B$77*(1+A_INPUT!$B$78)^(B51-1)))</f>
        <v>-49523.9583333333</v>
      </c>
      <c r="F51" s="45" t="n">
        <f aca="false">C51+D51+E51</f>
        <v>120390.187126961</v>
      </c>
      <c r="G51" s="45" t="n">
        <f aca="false">IF(A51&gt;A_INPUT!$B$112*12,0,IF(A51&lt;=A_INPUT!$B$107*12,IFERROR(C_CALC!$B$66/A_INPUT!$B$107/12,0),0)+IF(A51&lt;=A_INPUT!$B$108*12,IFERROR(C_CALC!$B$67/A_INPUT!$B$108/12,0),0))</f>
        <v>15016.875</v>
      </c>
      <c r="H51" s="45" t="n">
        <f aca="false">K50</f>
        <v>0</v>
      </c>
      <c r="I51" s="45" t="n">
        <f aca="false">H51*A_INPUT!$B$105/12</f>
        <v>0</v>
      </c>
      <c r="J51" s="45" t="n">
        <f aca="false">IF(H51&lt;=0,0,MIN(H51,C_CALC!$B$72-I51))</f>
        <v>0</v>
      </c>
      <c r="K51" s="45" t="n">
        <f aca="false">MAX(0,H51-J51)</f>
        <v>0</v>
      </c>
      <c r="L51" s="45" t="n">
        <f aca="false">F51-G51-I51</f>
        <v>105373.312126961</v>
      </c>
      <c r="M51" s="45" t="n">
        <f aca="false">MAX(0,L51)*A_INPUT!$B$109</f>
        <v>21074.6624253922</v>
      </c>
      <c r="N51" s="45" t="n">
        <f aca="false">L51-M51</f>
        <v>84298.6497015686</v>
      </c>
      <c r="O51" s="45" t="n">
        <f aca="false">IF(A51=A_INPUT!$B$112*12,MAX(0,C_CALC!$B$66*(1-A51/12/A_INPUT!$B$107))+MAX(0,C_CALC!$B$67*(1-A51/12/A_INPUT!$B$108))+C_CALC!$B$68+A_INPUT!$B$50,0)</f>
        <v>0</v>
      </c>
      <c r="P51" s="45" t="n">
        <f aca="false">F51-M51+O51</f>
        <v>99315.5247015686</v>
      </c>
      <c r="Q51" s="45" t="n">
        <f aca="false">Q50+P51</f>
        <v>2638941.97076693</v>
      </c>
      <c r="R51" s="45" t="n">
        <f aca="false">N51+G51-J51+O51</f>
        <v>99315.5247015686</v>
      </c>
      <c r="S51" s="75" t="n">
        <f aca="false">1/(1+A_INPUT!$B$110/12)^A51</f>
        <v>0.694094386690248</v>
      </c>
      <c r="T51" s="45" t="n">
        <f aca="false">P51*S51</f>
        <v>68934.3482065555</v>
      </c>
      <c r="U51" s="45" t="n">
        <f aca="false">U50+T51</f>
        <v>1956367.03028367</v>
      </c>
      <c r="W51" s="76" t="n">
        <f aca="false">IF(AND(Q51&gt;=0,Q50&lt;0),A51,0)</f>
        <v>0</v>
      </c>
      <c r="X51" s="76" t="n">
        <f aca="false">IF(AND(U51&gt;=0,U50&lt;0),A51,0)</f>
        <v>0</v>
      </c>
    </row>
    <row r="52" customFormat="false" ht="15" hidden="false" customHeight="false" outlineLevel="0" collapsed="false">
      <c r="A52" s="73" t="n">
        <v>45</v>
      </c>
      <c r="B52" s="73" t="n">
        <f aca="false">ROUNDUP(A52/12,0)</f>
        <v>4</v>
      </c>
      <c r="C52" s="45" t="n">
        <f aca="false">IF(A52&gt;A_INPUT!$B$112*12,0,C_CALC!$B$43*(1+A_INPUT!$B$111)^(B52-1))</f>
        <v>238043.415441176</v>
      </c>
      <c r="D52" s="45" t="n">
        <f aca="false">-C52*C_CALC!$B$57</f>
        <v>-68129.2699808823</v>
      </c>
      <c r="E52" s="45" t="n">
        <f aca="false">IF(A52&gt;A_INPUT!$B$112*12,0,-((A_INPUT!$B$87-A_INPUT!$B$77)-IF(B52=1,F_SERVICE!$B$32,0)+A_INPUT!$B$77*(1+A_INPUT!$B$78)^(B52-1)))</f>
        <v>-49523.9583333333</v>
      </c>
      <c r="F52" s="45" t="n">
        <f aca="false">C52+D52+E52</f>
        <v>120390.187126961</v>
      </c>
      <c r="G52" s="45" t="n">
        <f aca="false">IF(A52&gt;A_INPUT!$B$112*12,0,IF(A52&lt;=A_INPUT!$B$107*12,IFERROR(C_CALC!$B$66/A_INPUT!$B$107/12,0),0)+IF(A52&lt;=A_INPUT!$B$108*12,IFERROR(C_CALC!$B$67/A_INPUT!$B$108/12,0),0))</f>
        <v>15016.875</v>
      </c>
      <c r="H52" s="45" t="n">
        <f aca="false">K51</f>
        <v>0</v>
      </c>
      <c r="I52" s="45" t="n">
        <f aca="false">H52*A_INPUT!$B$105/12</f>
        <v>0</v>
      </c>
      <c r="J52" s="45" t="n">
        <f aca="false">IF(H52&lt;=0,0,MIN(H52,C_CALC!$B$72-I52))</f>
        <v>0</v>
      </c>
      <c r="K52" s="45" t="n">
        <f aca="false">MAX(0,H52-J52)</f>
        <v>0</v>
      </c>
      <c r="L52" s="45" t="n">
        <f aca="false">F52-G52-I52</f>
        <v>105373.312126961</v>
      </c>
      <c r="M52" s="45" t="n">
        <f aca="false">MAX(0,L52)*A_INPUT!$B$109</f>
        <v>21074.6624253922</v>
      </c>
      <c r="N52" s="45" t="n">
        <f aca="false">L52-M52</f>
        <v>84298.6497015686</v>
      </c>
      <c r="O52" s="45" t="n">
        <f aca="false">IF(A52=A_INPUT!$B$112*12,MAX(0,C_CALC!$B$66*(1-A52/12/A_INPUT!$B$107))+MAX(0,C_CALC!$B$67*(1-A52/12/A_INPUT!$B$108))+C_CALC!$B$68+A_INPUT!$B$50,0)</f>
        <v>0</v>
      </c>
      <c r="P52" s="45" t="n">
        <f aca="false">F52-M52+O52</f>
        <v>99315.5247015686</v>
      </c>
      <c r="Q52" s="45" t="n">
        <f aca="false">Q51+P52</f>
        <v>2738257.4954685</v>
      </c>
      <c r="R52" s="45" t="n">
        <f aca="false">N52+G52-J52+O52</f>
        <v>99315.5247015686</v>
      </c>
      <c r="S52" s="75" t="n">
        <f aca="false">1/(1+A_INPUT!$B$110/12)^A52</f>
        <v>0.688358069444874</v>
      </c>
      <c r="T52" s="45" t="n">
        <f aca="false">P52*S52</f>
        <v>68364.6428494765</v>
      </c>
      <c r="U52" s="45" t="n">
        <f aca="false">U51+T52</f>
        <v>2024731.67313315</v>
      </c>
      <c r="W52" s="76" t="n">
        <f aca="false">IF(AND(Q52&gt;=0,Q51&lt;0),A52,0)</f>
        <v>0</v>
      </c>
      <c r="X52" s="76" t="n">
        <f aca="false">IF(AND(U52&gt;=0,U51&lt;0),A52,0)</f>
        <v>0</v>
      </c>
    </row>
    <row r="53" customFormat="false" ht="15" hidden="false" customHeight="false" outlineLevel="0" collapsed="false">
      <c r="A53" s="73" t="n">
        <v>46</v>
      </c>
      <c r="B53" s="73" t="n">
        <f aca="false">ROUNDUP(A53/12,0)</f>
        <v>4</v>
      </c>
      <c r="C53" s="45" t="n">
        <f aca="false">IF(A53&gt;A_INPUT!$B$112*12,0,C_CALC!$B$43*(1+A_INPUT!$B$111)^(B53-1))</f>
        <v>238043.415441176</v>
      </c>
      <c r="D53" s="45" t="n">
        <f aca="false">-C53*C_CALC!$B$57</f>
        <v>-68129.2699808823</v>
      </c>
      <c r="E53" s="45" t="n">
        <f aca="false">IF(A53&gt;A_INPUT!$B$112*12,0,-((A_INPUT!$B$87-A_INPUT!$B$77)-IF(B53=1,F_SERVICE!$B$32,0)+A_INPUT!$B$77*(1+A_INPUT!$B$78)^(B53-1)))</f>
        <v>-49523.9583333333</v>
      </c>
      <c r="F53" s="45" t="n">
        <f aca="false">C53+D53+E53</f>
        <v>120390.187126961</v>
      </c>
      <c r="G53" s="45" t="n">
        <f aca="false">IF(A53&gt;A_INPUT!$B$112*12,0,IF(A53&lt;=A_INPUT!$B$107*12,IFERROR(C_CALC!$B$66/A_INPUT!$B$107/12,0),0)+IF(A53&lt;=A_INPUT!$B$108*12,IFERROR(C_CALC!$B$67/A_INPUT!$B$108/12,0),0))</f>
        <v>15016.875</v>
      </c>
      <c r="H53" s="45" t="n">
        <f aca="false">K52</f>
        <v>0</v>
      </c>
      <c r="I53" s="45" t="n">
        <f aca="false">H53*A_INPUT!$B$105/12</f>
        <v>0</v>
      </c>
      <c r="J53" s="45" t="n">
        <f aca="false">IF(H53&lt;=0,0,MIN(H53,C_CALC!$B$72-I53))</f>
        <v>0</v>
      </c>
      <c r="K53" s="45" t="n">
        <f aca="false">MAX(0,H53-J53)</f>
        <v>0</v>
      </c>
      <c r="L53" s="45" t="n">
        <f aca="false">F53-G53-I53</f>
        <v>105373.312126961</v>
      </c>
      <c r="M53" s="45" t="n">
        <f aca="false">MAX(0,L53)*A_INPUT!$B$109</f>
        <v>21074.6624253922</v>
      </c>
      <c r="N53" s="45" t="n">
        <f aca="false">L53-M53</f>
        <v>84298.6497015686</v>
      </c>
      <c r="O53" s="45" t="n">
        <f aca="false">IF(A53=A_INPUT!$B$112*12,MAX(0,C_CALC!$B$66*(1-A53/12/A_INPUT!$B$107))+MAX(0,C_CALC!$B$67*(1-A53/12/A_INPUT!$B$108))+C_CALC!$B$68+A_INPUT!$B$50,0)</f>
        <v>0</v>
      </c>
      <c r="P53" s="45" t="n">
        <f aca="false">F53-M53+O53</f>
        <v>99315.5247015686</v>
      </c>
      <c r="Q53" s="45" t="n">
        <f aca="false">Q52+P53</f>
        <v>2837573.02017007</v>
      </c>
      <c r="R53" s="45" t="n">
        <f aca="false">N53+G53-J53+O53</f>
        <v>99315.5247015686</v>
      </c>
      <c r="S53" s="75" t="n">
        <f aca="false">1/(1+A_INPUT!$B$110/12)^A53</f>
        <v>0.682669159780041</v>
      </c>
      <c r="T53" s="45" t="n">
        <f aca="false">P53*S53</f>
        <v>67799.6458011337</v>
      </c>
      <c r="U53" s="45" t="n">
        <f aca="false">U52+T53</f>
        <v>2092531.31893428</v>
      </c>
      <c r="W53" s="76" t="n">
        <f aca="false">IF(AND(Q53&gt;=0,Q52&lt;0),A53,0)</f>
        <v>0</v>
      </c>
      <c r="X53" s="76" t="n">
        <f aca="false">IF(AND(U53&gt;=0,U52&lt;0),A53,0)</f>
        <v>0</v>
      </c>
    </row>
    <row r="54" customFormat="false" ht="15" hidden="false" customHeight="false" outlineLevel="0" collapsed="false">
      <c r="A54" s="73" t="n">
        <v>47</v>
      </c>
      <c r="B54" s="73" t="n">
        <f aca="false">ROUNDUP(A54/12,0)</f>
        <v>4</v>
      </c>
      <c r="C54" s="45" t="n">
        <f aca="false">IF(A54&gt;A_INPUT!$B$112*12,0,C_CALC!$B$43*(1+A_INPUT!$B$111)^(B54-1))</f>
        <v>238043.415441176</v>
      </c>
      <c r="D54" s="45" t="n">
        <f aca="false">-C54*C_CALC!$B$57</f>
        <v>-68129.2699808823</v>
      </c>
      <c r="E54" s="45" t="n">
        <f aca="false">IF(A54&gt;A_INPUT!$B$112*12,0,-((A_INPUT!$B$87-A_INPUT!$B$77)-IF(B54=1,F_SERVICE!$B$32,0)+A_INPUT!$B$77*(1+A_INPUT!$B$78)^(B54-1)))</f>
        <v>-49523.9583333333</v>
      </c>
      <c r="F54" s="45" t="n">
        <f aca="false">C54+D54+E54</f>
        <v>120390.187126961</v>
      </c>
      <c r="G54" s="45" t="n">
        <f aca="false">IF(A54&gt;A_INPUT!$B$112*12,0,IF(A54&lt;=A_INPUT!$B$107*12,IFERROR(C_CALC!$B$66/A_INPUT!$B$107/12,0),0)+IF(A54&lt;=A_INPUT!$B$108*12,IFERROR(C_CALC!$B$67/A_INPUT!$B$108/12,0),0))</f>
        <v>15016.875</v>
      </c>
      <c r="H54" s="45" t="n">
        <f aca="false">K53</f>
        <v>0</v>
      </c>
      <c r="I54" s="45" t="n">
        <f aca="false">H54*A_INPUT!$B$105/12</f>
        <v>0</v>
      </c>
      <c r="J54" s="45" t="n">
        <f aca="false">IF(H54&lt;=0,0,MIN(H54,C_CALC!$B$72-I54))</f>
        <v>0</v>
      </c>
      <c r="K54" s="45" t="n">
        <f aca="false">MAX(0,H54-J54)</f>
        <v>0</v>
      </c>
      <c r="L54" s="45" t="n">
        <f aca="false">F54-G54-I54</f>
        <v>105373.312126961</v>
      </c>
      <c r="M54" s="45" t="n">
        <f aca="false">MAX(0,L54)*A_INPUT!$B$109</f>
        <v>21074.6624253922</v>
      </c>
      <c r="N54" s="45" t="n">
        <f aca="false">L54-M54</f>
        <v>84298.6497015686</v>
      </c>
      <c r="O54" s="45" t="n">
        <f aca="false">IF(A54=A_INPUT!$B$112*12,MAX(0,C_CALC!$B$66*(1-A54/12/A_INPUT!$B$107))+MAX(0,C_CALC!$B$67*(1-A54/12/A_INPUT!$B$108))+C_CALC!$B$68+A_INPUT!$B$50,0)</f>
        <v>0</v>
      </c>
      <c r="P54" s="45" t="n">
        <f aca="false">F54-M54+O54</f>
        <v>99315.5247015686</v>
      </c>
      <c r="Q54" s="45" t="n">
        <f aca="false">Q53+P54</f>
        <v>2936888.54487164</v>
      </c>
      <c r="R54" s="45" t="n">
        <f aca="false">N54+G54-J54+O54</f>
        <v>99315.5247015686</v>
      </c>
      <c r="S54" s="75" t="n">
        <f aca="false">1/(1+A_INPUT!$B$110/12)^A54</f>
        <v>0.677027265897561</v>
      </c>
      <c r="T54" s="45" t="n">
        <f aca="false">P54*S54</f>
        <v>67239.3181498847</v>
      </c>
      <c r="U54" s="45" t="n">
        <f aca="false">U53+T54</f>
        <v>2159770.63708417</v>
      </c>
      <c r="W54" s="76" t="n">
        <f aca="false">IF(AND(Q54&gt;=0,Q53&lt;0),A54,0)</f>
        <v>0</v>
      </c>
      <c r="X54" s="76" t="n">
        <f aca="false">IF(AND(U54&gt;=0,U53&lt;0),A54,0)</f>
        <v>0</v>
      </c>
    </row>
    <row r="55" customFormat="false" ht="15" hidden="false" customHeight="false" outlineLevel="0" collapsed="false">
      <c r="A55" s="77" t="n">
        <v>48</v>
      </c>
      <c r="B55" s="77" t="n">
        <f aca="false">ROUNDUP(A55/12,0)</f>
        <v>4</v>
      </c>
      <c r="C55" s="78" t="n">
        <f aca="false">IF(A55&gt;A_INPUT!$B$112*12,0,C_CALC!$B$43*(1+A_INPUT!$B$111)^(B55-1))</f>
        <v>238043.415441176</v>
      </c>
      <c r="D55" s="78" t="n">
        <f aca="false">-C55*C_CALC!$B$57</f>
        <v>-68129.2699808823</v>
      </c>
      <c r="E55" s="78" t="n">
        <f aca="false">IF(A55&gt;A_INPUT!$B$112*12,0,-((A_INPUT!$B$87-A_INPUT!$B$77)-IF(B55=1,F_SERVICE!$B$32,0)+A_INPUT!$B$77*(1+A_INPUT!$B$78)^(B55-1)))</f>
        <v>-49523.9583333333</v>
      </c>
      <c r="F55" s="78" t="n">
        <f aca="false">C55+D55+E55</f>
        <v>120390.187126961</v>
      </c>
      <c r="G55" s="78" t="n">
        <f aca="false">IF(A55&gt;A_INPUT!$B$112*12,0,IF(A55&lt;=A_INPUT!$B$107*12,IFERROR(C_CALC!$B$66/A_INPUT!$B$107/12,0),0)+IF(A55&lt;=A_INPUT!$B$108*12,IFERROR(C_CALC!$B$67/A_INPUT!$B$108/12,0),0))</f>
        <v>15016.875</v>
      </c>
      <c r="H55" s="78" t="n">
        <f aca="false">K54</f>
        <v>0</v>
      </c>
      <c r="I55" s="78" t="n">
        <f aca="false">H55*A_INPUT!$B$105/12</f>
        <v>0</v>
      </c>
      <c r="J55" s="78" t="n">
        <f aca="false">IF(H55&lt;=0,0,MIN(H55,C_CALC!$B$72-I55))</f>
        <v>0</v>
      </c>
      <c r="K55" s="78" t="n">
        <f aca="false">MAX(0,H55-J55)</f>
        <v>0</v>
      </c>
      <c r="L55" s="78" t="n">
        <f aca="false">F55-G55-I55</f>
        <v>105373.312126961</v>
      </c>
      <c r="M55" s="78" t="n">
        <f aca="false">MAX(0,L55)*A_INPUT!$B$109</f>
        <v>21074.6624253922</v>
      </c>
      <c r="N55" s="78" t="n">
        <f aca="false">L55-M55</f>
        <v>84298.6497015686</v>
      </c>
      <c r="O55" s="78" t="n">
        <f aca="false">IF(A55=A_INPUT!$B$112*12,MAX(0,C_CALC!$B$66*(1-A55/12/A_INPUT!$B$107))+MAX(0,C_CALC!$B$67*(1-A55/12/A_INPUT!$B$108))+C_CALC!$B$68+A_INPUT!$B$50,0)</f>
        <v>0</v>
      </c>
      <c r="P55" s="78" t="n">
        <f aca="false">F55-M55+O55</f>
        <v>99315.5247015686</v>
      </c>
      <c r="Q55" s="78" t="n">
        <f aca="false">Q54+P55</f>
        <v>3036204.06957321</v>
      </c>
      <c r="R55" s="78" t="n">
        <f aca="false">N55+G55-J55+O55</f>
        <v>99315.5247015686</v>
      </c>
      <c r="S55" s="79" t="n">
        <f aca="false">1/(1+A_INPUT!$B$110/12)^A55</f>
        <v>0.671431999237251</v>
      </c>
      <c r="T55" s="78" t="n">
        <f aca="false">P55*S55</f>
        <v>66683.6213056708</v>
      </c>
      <c r="U55" s="78" t="n">
        <f aca="false">U54+T55</f>
        <v>2226454.25838984</v>
      </c>
      <c r="W55" s="76" t="n">
        <f aca="false">IF(AND(Q55&gt;=0,Q54&lt;0),A55,0)</f>
        <v>0</v>
      </c>
      <c r="X55" s="76" t="n">
        <f aca="false">IF(AND(U55&gt;=0,U54&lt;0),A55,0)</f>
        <v>0</v>
      </c>
    </row>
    <row r="56" customFormat="false" ht="15" hidden="false" customHeight="false" outlineLevel="0" collapsed="false">
      <c r="A56" s="73" t="n">
        <v>49</v>
      </c>
      <c r="B56" s="73" t="n">
        <f aca="false">ROUNDUP(A56/12,0)</f>
        <v>5</v>
      </c>
      <c r="C56" s="45" t="n">
        <f aca="false">IF(A56&gt;A_INPUT!$B$112*12,0,C_CALC!$B$43*(1+A_INPUT!$B$111)^(B56-1))</f>
        <v>249945.586213235</v>
      </c>
      <c r="D56" s="45" t="n">
        <f aca="false">-C56*C_CALC!$B$57</f>
        <v>-71535.7334799265</v>
      </c>
      <c r="E56" s="45" t="n">
        <f aca="false">IF(A56&gt;A_INPUT!$B$112*12,0,-((A_INPUT!$B$87-A_INPUT!$B$77)-IF(B56=1,F_SERVICE!$B$32,0)+A_INPUT!$B$77*(1+A_INPUT!$B$78)^(B56-1)))</f>
        <v>-50970.9895833333</v>
      </c>
      <c r="F56" s="45" t="n">
        <f aca="false">C56+D56+E56</f>
        <v>127438.863149976</v>
      </c>
      <c r="G56" s="45" t="n">
        <f aca="false">IF(A56&gt;A_INPUT!$B$112*12,0,IF(A56&lt;=A_INPUT!$B$107*12,IFERROR(C_CALC!$B$66/A_INPUT!$B$107/12,0),0)+IF(A56&lt;=A_INPUT!$B$108*12,IFERROR(C_CALC!$B$67/A_INPUT!$B$108/12,0),0))</f>
        <v>15016.875</v>
      </c>
      <c r="H56" s="45" t="n">
        <f aca="false">K55</f>
        <v>0</v>
      </c>
      <c r="I56" s="45" t="n">
        <f aca="false">H56*A_INPUT!$B$105/12</f>
        <v>0</v>
      </c>
      <c r="J56" s="45" t="n">
        <f aca="false">IF(H56&lt;=0,0,MIN(H56,C_CALC!$B$72-I56))</f>
        <v>0</v>
      </c>
      <c r="K56" s="45" t="n">
        <f aca="false">MAX(0,H56-J56)</f>
        <v>0</v>
      </c>
      <c r="L56" s="45" t="n">
        <f aca="false">F56-G56-I56</f>
        <v>112421.988149976</v>
      </c>
      <c r="M56" s="45" t="n">
        <f aca="false">MAX(0,L56)*A_INPUT!$B$109</f>
        <v>22484.3976299951</v>
      </c>
      <c r="N56" s="45" t="n">
        <f aca="false">L56-M56</f>
        <v>89937.5905199804</v>
      </c>
      <c r="O56" s="45" t="n">
        <f aca="false">IF(A56=A_INPUT!$B$112*12,MAX(0,C_CALC!$B$66*(1-A56/12/A_INPUT!$B$107))+MAX(0,C_CALC!$B$67*(1-A56/12/A_INPUT!$B$108))+C_CALC!$B$68+A_INPUT!$B$50,0)</f>
        <v>0</v>
      </c>
      <c r="P56" s="45" t="n">
        <f aca="false">F56-M56+O56</f>
        <v>104954.46551998</v>
      </c>
      <c r="Q56" s="45" t="n">
        <f aca="false">Q55+P56</f>
        <v>3141158.53509319</v>
      </c>
      <c r="R56" s="45" t="n">
        <f aca="false">N56+G56-J56+O56</f>
        <v>104954.46551998</v>
      </c>
      <c r="S56" s="75" t="n">
        <f aca="false">1/(1+A_INPUT!$B$110/12)^A56</f>
        <v>0.665882974450166</v>
      </c>
      <c r="T56" s="45" t="n">
        <f aca="false">P56*S56</f>
        <v>69887.391682272</v>
      </c>
      <c r="U56" s="45" t="n">
        <f aca="false">U55+T56</f>
        <v>2296341.65007211</v>
      </c>
      <c r="W56" s="76" t="n">
        <f aca="false">IF(AND(Q56&gt;=0,Q55&lt;0),A56,0)</f>
        <v>0</v>
      </c>
      <c r="X56" s="76" t="n">
        <f aca="false">IF(AND(U56&gt;=0,U55&lt;0),A56,0)</f>
        <v>0</v>
      </c>
    </row>
    <row r="57" customFormat="false" ht="15" hidden="false" customHeight="false" outlineLevel="0" collapsed="false">
      <c r="A57" s="73" t="n">
        <v>50</v>
      </c>
      <c r="B57" s="73" t="n">
        <f aca="false">ROUNDUP(A57/12,0)</f>
        <v>5</v>
      </c>
      <c r="C57" s="45" t="n">
        <f aca="false">IF(A57&gt;A_INPUT!$B$112*12,0,C_CALC!$B$43*(1+A_INPUT!$B$111)^(B57-1))</f>
        <v>249945.586213235</v>
      </c>
      <c r="D57" s="45" t="n">
        <f aca="false">-C57*C_CALC!$B$57</f>
        <v>-71535.7334799265</v>
      </c>
      <c r="E57" s="45" t="n">
        <f aca="false">IF(A57&gt;A_INPUT!$B$112*12,0,-((A_INPUT!$B$87-A_INPUT!$B$77)-IF(B57=1,F_SERVICE!$B$32,0)+A_INPUT!$B$77*(1+A_INPUT!$B$78)^(B57-1)))</f>
        <v>-50970.9895833333</v>
      </c>
      <c r="F57" s="45" t="n">
        <f aca="false">C57+D57+E57</f>
        <v>127438.863149976</v>
      </c>
      <c r="G57" s="45" t="n">
        <f aca="false">IF(A57&gt;A_INPUT!$B$112*12,0,IF(A57&lt;=A_INPUT!$B$107*12,IFERROR(C_CALC!$B$66/A_INPUT!$B$107/12,0),0)+IF(A57&lt;=A_INPUT!$B$108*12,IFERROR(C_CALC!$B$67/A_INPUT!$B$108/12,0),0))</f>
        <v>15016.875</v>
      </c>
      <c r="H57" s="45" t="n">
        <f aca="false">K56</f>
        <v>0</v>
      </c>
      <c r="I57" s="45" t="n">
        <f aca="false">H57*A_INPUT!$B$105/12</f>
        <v>0</v>
      </c>
      <c r="J57" s="45" t="n">
        <f aca="false">IF(H57&lt;=0,0,MIN(H57,C_CALC!$B$72-I57))</f>
        <v>0</v>
      </c>
      <c r="K57" s="45" t="n">
        <f aca="false">MAX(0,H57-J57)</f>
        <v>0</v>
      </c>
      <c r="L57" s="45" t="n">
        <f aca="false">F57-G57-I57</f>
        <v>112421.988149976</v>
      </c>
      <c r="M57" s="45" t="n">
        <f aca="false">MAX(0,L57)*A_INPUT!$B$109</f>
        <v>22484.3976299951</v>
      </c>
      <c r="N57" s="45" t="n">
        <f aca="false">L57-M57</f>
        <v>89937.5905199804</v>
      </c>
      <c r="O57" s="45" t="n">
        <f aca="false">IF(A57=A_INPUT!$B$112*12,MAX(0,C_CALC!$B$66*(1-A57/12/A_INPUT!$B$107))+MAX(0,C_CALC!$B$67*(1-A57/12/A_INPUT!$B$108))+C_CALC!$B$68+A_INPUT!$B$50,0)</f>
        <v>0</v>
      </c>
      <c r="P57" s="45" t="n">
        <f aca="false">F57-M57+O57</f>
        <v>104954.46551998</v>
      </c>
      <c r="Q57" s="45" t="n">
        <f aca="false">Q56+P57</f>
        <v>3246113.00061317</v>
      </c>
      <c r="R57" s="45" t="n">
        <f aca="false">N57+G57-J57+O57</f>
        <v>104954.46551998</v>
      </c>
      <c r="S57" s="75" t="n">
        <f aca="false">1/(1+A_INPUT!$B$110/12)^A57</f>
        <v>0.660379809372065</v>
      </c>
      <c r="T57" s="45" t="n">
        <f aca="false">P57*S57</f>
        <v>69309.8099328317</v>
      </c>
      <c r="U57" s="45" t="n">
        <f aca="false">U56+T57</f>
        <v>2365651.46000494</v>
      </c>
      <c r="W57" s="76" t="n">
        <f aca="false">IF(AND(Q57&gt;=0,Q56&lt;0),A57,0)</f>
        <v>0</v>
      </c>
      <c r="X57" s="76" t="n">
        <f aca="false">IF(AND(U57&gt;=0,U56&lt;0),A57,0)</f>
        <v>0</v>
      </c>
    </row>
    <row r="58" customFormat="false" ht="15" hidden="false" customHeight="false" outlineLevel="0" collapsed="false">
      <c r="A58" s="73" t="n">
        <v>51</v>
      </c>
      <c r="B58" s="73" t="n">
        <f aca="false">ROUNDUP(A58/12,0)</f>
        <v>5</v>
      </c>
      <c r="C58" s="45" t="n">
        <f aca="false">IF(A58&gt;A_INPUT!$B$112*12,0,C_CALC!$B$43*(1+A_INPUT!$B$111)^(B58-1))</f>
        <v>249945.586213235</v>
      </c>
      <c r="D58" s="45" t="n">
        <f aca="false">-C58*C_CALC!$B$57</f>
        <v>-71535.7334799265</v>
      </c>
      <c r="E58" s="45" t="n">
        <f aca="false">IF(A58&gt;A_INPUT!$B$112*12,0,-((A_INPUT!$B$87-A_INPUT!$B$77)-IF(B58=1,F_SERVICE!$B$32,0)+A_INPUT!$B$77*(1+A_INPUT!$B$78)^(B58-1)))</f>
        <v>-50970.9895833333</v>
      </c>
      <c r="F58" s="45" t="n">
        <f aca="false">C58+D58+E58</f>
        <v>127438.863149976</v>
      </c>
      <c r="G58" s="45" t="n">
        <f aca="false">IF(A58&gt;A_INPUT!$B$112*12,0,IF(A58&lt;=A_INPUT!$B$107*12,IFERROR(C_CALC!$B$66/A_INPUT!$B$107/12,0),0)+IF(A58&lt;=A_INPUT!$B$108*12,IFERROR(C_CALC!$B$67/A_INPUT!$B$108/12,0),0))</f>
        <v>15016.875</v>
      </c>
      <c r="H58" s="45" t="n">
        <f aca="false">K57</f>
        <v>0</v>
      </c>
      <c r="I58" s="45" t="n">
        <f aca="false">H58*A_INPUT!$B$105/12</f>
        <v>0</v>
      </c>
      <c r="J58" s="45" t="n">
        <f aca="false">IF(H58&lt;=0,0,MIN(H58,C_CALC!$B$72-I58))</f>
        <v>0</v>
      </c>
      <c r="K58" s="45" t="n">
        <f aca="false">MAX(0,H58-J58)</f>
        <v>0</v>
      </c>
      <c r="L58" s="45" t="n">
        <f aca="false">F58-G58-I58</f>
        <v>112421.988149976</v>
      </c>
      <c r="M58" s="45" t="n">
        <f aca="false">MAX(0,L58)*A_INPUT!$B$109</f>
        <v>22484.3976299951</v>
      </c>
      <c r="N58" s="45" t="n">
        <f aca="false">L58-M58</f>
        <v>89937.5905199804</v>
      </c>
      <c r="O58" s="45" t="n">
        <f aca="false">IF(A58=A_INPUT!$B$112*12,MAX(0,C_CALC!$B$66*(1-A58/12/A_INPUT!$B$107))+MAX(0,C_CALC!$B$67*(1-A58/12/A_INPUT!$B$108))+C_CALC!$B$68+A_INPUT!$B$50,0)</f>
        <v>0</v>
      </c>
      <c r="P58" s="45" t="n">
        <f aca="false">F58-M58+O58</f>
        <v>104954.46551998</v>
      </c>
      <c r="Q58" s="45" t="n">
        <f aca="false">Q57+P58</f>
        <v>3351067.46613315</v>
      </c>
      <c r="R58" s="45" t="n">
        <f aca="false">N58+G58-J58+O58</f>
        <v>104954.46551998</v>
      </c>
      <c r="S58" s="75" t="n">
        <f aca="false">1/(1+A_INPUT!$B$110/12)^A58</f>
        <v>0.65492212499709</v>
      </c>
      <c r="T58" s="45" t="n">
        <f aca="false">P58*S58</f>
        <v>68737.0015862794</v>
      </c>
      <c r="U58" s="45" t="n">
        <f aca="false">U57+T58</f>
        <v>2434388.46159122</v>
      </c>
      <c r="W58" s="76" t="n">
        <f aca="false">IF(AND(Q58&gt;=0,Q57&lt;0),A58,0)</f>
        <v>0</v>
      </c>
      <c r="X58" s="76" t="n">
        <f aca="false">IF(AND(U58&gt;=0,U57&lt;0),A58,0)</f>
        <v>0</v>
      </c>
    </row>
    <row r="59" customFormat="false" ht="15" hidden="false" customHeight="false" outlineLevel="0" collapsed="false">
      <c r="A59" s="73" t="n">
        <v>52</v>
      </c>
      <c r="B59" s="73" t="n">
        <f aca="false">ROUNDUP(A59/12,0)</f>
        <v>5</v>
      </c>
      <c r="C59" s="45" t="n">
        <f aca="false">IF(A59&gt;A_INPUT!$B$112*12,0,C_CALC!$B$43*(1+A_INPUT!$B$111)^(B59-1))</f>
        <v>249945.586213235</v>
      </c>
      <c r="D59" s="45" t="n">
        <f aca="false">-C59*C_CALC!$B$57</f>
        <v>-71535.7334799265</v>
      </c>
      <c r="E59" s="45" t="n">
        <f aca="false">IF(A59&gt;A_INPUT!$B$112*12,0,-((A_INPUT!$B$87-A_INPUT!$B$77)-IF(B59=1,F_SERVICE!$B$32,0)+A_INPUT!$B$77*(1+A_INPUT!$B$78)^(B59-1)))</f>
        <v>-50970.9895833333</v>
      </c>
      <c r="F59" s="45" t="n">
        <f aca="false">C59+D59+E59</f>
        <v>127438.863149976</v>
      </c>
      <c r="G59" s="45" t="n">
        <f aca="false">IF(A59&gt;A_INPUT!$B$112*12,0,IF(A59&lt;=A_INPUT!$B$107*12,IFERROR(C_CALC!$B$66/A_INPUT!$B$107/12,0),0)+IF(A59&lt;=A_INPUT!$B$108*12,IFERROR(C_CALC!$B$67/A_INPUT!$B$108/12,0),0))</f>
        <v>15016.875</v>
      </c>
      <c r="H59" s="45" t="n">
        <f aca="false">K58</f>
        <v>0</v>
      </c>
      <c r="I59" s="45" t="n">
        <f aca="false">H59*A_INPUT!$B$105/12</f>
        <v>0</v>
      </c>
      <c r="J59" s="45" t="n">
        <f aca="false">IF(H59&lt;=0,0,MIN(H59,C_CALC!$B$72-I59))</f>
        <v>0</v>
      </c>
      <c r="K59" s="45" t="n">
        <f aca="false">MAX(0,H59-J59)</f>
        <v>0</v>
      </c>
      <c r="L59" s="45" t="n">
        <f aca="false">F59-G59-I59</f>
        <v>112421.988149976</v>
      </c>
      <c r="M59" s="45" t="n">
        <f aca="false">MAX(0,L59)*A_INPUT!$B$109</f>
        <v>22484.3976299951</v>
      </c>
      <c r="N59" s="45" t="n">
        <f aca="false">L59-M59</f>
        <v>89937.5905199804</v>
      </c>
      <c r="O59" s="45" t="n">
        <f aca="false">IF(A59=A_INPUT!$B$112*12,MAX(0,C_CALC!$B$66*(1-A59/12/A_INPUT!$B$107))+MAX(0,C_CALC!$B$67*(1-A59/12/A_INPUT!$B$108))+C_CALC!$B$68+A_INPUT!$B$50,0)</f>
        <v>0</v>
      </c>
      <c r="P59" s="45" t="n">
        <f aca="false">F59-M59+O59</f>
        <v>104954.46551998</v>
      </c>
      <c r="Q59" s="45" t="n">
        <f aca="false">Q58+P59</f>
        <v>3456021.93165313</v>
      </c>
      <c r="R59" s="45" t="n">
        <f aca="false">N59+G59-J59+O59</f>
        <v>104954.46551998</v>
      </c>
      <c r="S59" s="75" t="n">
        <f aca="false">1/(1+A_INPUT!$B$110/12)^A59</f>
        <v>0.649509545451659</v>
      </c>
      <c r="T59" s="45" t="n">
        <f aca="false">P59*S59</f>
        <v>68168.9271930043</v>
      </c>
      <c r="U59" s="45" t="n">
        <f aca="false">U58+T59</f>
        <v>2502557.38878423</v>
      </c>
      <c r="W59" s="76" t="n">
        <f aca="false">IF(AND(Q59&gt;=0,Q58&lt;0),A59,0)</f>
        <v>0</v>
      </c>
      <c r="X59" s="76" t="n">
        <f aca="false">IF(AND(U59&gt;=0,U58&lt;0),A59,0)</f>
        <v>0</v>
      </c>
    </row>
    <row r="60" customFormat="false" ht="15" hidden="false" customHeight="false" outlineLevel="0" collapsed="false">
      <c r="A60" s="73" t="n">
        <v>53</v>
      </c>
      <c r="B60" s="73" t="n">
        <f aca="false">ROUNDUP(A60/12,0)</f>
        <v>5</v>
      </c>
      <c r="C60" s="45" t="n">
        <f aca="false">IF(A60&gt;A_INPUT!$B$112*12,0,C_CALC!$B$43*(1+A_INPUT!$B$111)^(B60-1))</f>
        <v>249945.586213235</v>
      </c>
      <c r="D60" s="45" t="n">
        <f aca="false">-C60*C_CALC!$B$57</f>
        <v>-71535.7334799265</v>
      </c>
      <c r="E60" s="45" t="n">
        <f aca="false">IF(A60&gt;A_INPUT!$B$112*12,0,-((A_INPUT!$B$87-A_INPUT!$B$77)-IF(B60=1,F_SERVICE!$B$32,0)+A_INPUT!$B$77*(1+A_INPUT!$B$78)^(B60-1)))</f>
        <v>-50970.9895833333</v>
      </c>
      <c r="F60" s="45" t="n">
        <f aca="false">C60+D60+E60</f>
        <v>127438.863149976</v>
      </c>
      <c r="G60" s="45" t="n">
        <f aca="false">IF(A60&gt;A_INPUT!$B$112*12,0,IF(A60&lt;=A_INPUT!$B$107*12,IFERROR(C_CALC!$B$66/A_INPUT!$B$107/12,0),0)+IF(A60&lt;=A_INPUT!$B$108*12,IFERROR(C_CALC!$B$67/A_INPUT!$B$108/12,0),0))</f>
        <v>15016.875</v>
      </c>
      <c r="H60" s="45" t="n">
        <f aca="false">K59</f>
        <v>0</v>
      </c>
      <c r="I60" s="45" t="n">
        <f aca="false">H60*A_INPUT!$B$105/12</f>
        <v>0</v>
      </c>
      <c r="J60" s="45" t="n">
        <f aca="false">IF(H60&lt;=0,0,MIN(H60,C_CALC!$B$72-I60))</f>
        <v>0</v>
      </c>
      <c r="K60" s="45" t="n">
        <f aca="false">MAX(0,H60-J60)</f>
        <v>0</v>
      </c>
      <c r="L60" s="45" t="n">
        <f aca="false">F60-G60-I60</f>
        <v>112421.988149976</v>
      </c>
      <c r="M60" s="45" t="n">
        <f aca="false">MAX(0,L60)*A_INPUT!$B$109</f>
        <v>22484.3976299951</v>
      </c>
      <c r="N60" s="45" t="n">
        <f aca="false">L60-M60</f>
        <v>89937.5905199804</v>
      </c>
      <c r="O60" s="45" t="n">
        <f aca="false">IF(A60=A_INPUT!$B$112*12,MAX(0,C_CALC!$B$66*(1-A60/12/A_INPUT!$B$107))+MAX(0,C_CALC!$B$67*(1-A60/12/A_INPUT!$B$108))+C_CALC!$B$68+A_INPUT!$B$50,0)</f>
        <v>0</v>
      </c>
      <c r="P60" s="45" t="n">
        <f aca="false">F60-M60+O60</f>
        <v>104954.46551998</v>
      </c>
      <c r="Q60" s="45" t="n">
        <f aca="false">Q59+P60</f>
        <v>3560976.39717311</v>
      </c>
      <c r="R60" s="45" t="n">
        <f aca="false">N60+G60-J60+O60</f>
        <v>104954.46551998</v>
      </c>
      <c r="S60" s="75" t="n">
        <f aca="false">1/(1+A_INPUT!$B$110/12)^A60</f>
        <v>0.644141697968588</v>
      </c>
      <c r="T60" s="45" t="n">
        <f aca="false">P60*S60</f>
        <v>67605.5476294258</v>
      </c>
      <c r="U60" s="45" t="n">
        <f aca="false">U59+T60</f>
        <v>2570162.93641365</v>
      </c>
      <c r="W60" s="76" t="n">
        <f aca="false">IF(AND(Q60&gt;=0,Q59&lt;0),A60,0)</f>
        <v>0</v>
      </c>
      <c r="X60" s="76" t="n">
        <f aca="false">IF(AND(U60&gt;=0,U59&lt;0),A60,0)</f>
        <v>0</v>
      </c>
    </row>
    <row r="61" customFormat="false" ht="15" hidden="false" customHeight="false" outlineLevel="0" collapsed="false">
      <c r="A61" s="73" t="n">
        <v>54</v>
      </c>
      <c r="B61" s="73" t="n">
        <f aca="false">ROUNDUP(A61/12,0)</f>
        <v>5</v>
      </c>
      <c r="C61" s="45" t="n">
        <f aca="false">IF(A61&gt;A_INPUT!$B$112*12,0,C_CALC!$B$43*(1+A_INPUT!$B$111)^(B61-1))</f>
        <v>249945.586213235</v>
      </c>
      <c r="D61" s="45" t="n">
        <f aca="false">-C61*C_CALC!$B$57</f>
        <v>-71535.7334799265</v>
      </c>
      <c r="E61" s="45" t="n">
        <f aca="false">IF(A61&gt;A_INPUT!$B$112*12,0,-((A_INPUT!$B$87-A_INPUT!$B$77)-IF(B61=1,F_SERVICE!$B$32,0)+A_INPUT!$B$77*(1+A_INPUT!$B$78)^(B61-1)))</f>
        <v>-50970.9895833333</v>
      </c>
      <c r="F61" s="45" t="n">
        <f aca="false">C61+D61+E61</f>
        <v>127438.863149976</v>
      </c>
      <c r="G61" s="45" t="n">
        <f aca="false">IF(A61&gt;A_INPUT!$B$112*12,0,IF(A61&lt;=A_INPUT!$B$107*12,IFERROR(C_CALC!$B$66/A_INPUT!$B$107/12,0),0)+IF(A61&lt;=A_INPUT!$B$108*12,IFERROR(C_CALC!$B$67/A_INPUT!$B$108/12,0),0))</f>
        <v>15016.875</v>
      </c>
      <c r="H61" s="45" t="n">
        <f aca="false">K60</f>
        <v>0</v>
      </c>
      <c r="I61" s="45" t="n">
        <f aca="false">H61*A_INPUT!$B$105/12</f>
        <v>0</v>
      </c>
      <c r="J61" s="45" t="n">
        <f aca="false">IF(H61&lt;=0,0,MIN(H61,C_CALC!$B$72-I61))</f>
        <v>0</v>
      </c>
      <c r="K61" s="45" t="n">
        <f aca="false">MAX(0,H61-J61)</f>
        <v>0</v>
      </c>
      <c r="L61" s="45" t="n">
        <f aca="false">F61-G61-I61</f>
        <v>112421.988149976</v>
      </c>
      <c r="M61" s="45" t="n">
        <f aca="false">MAX(0,L61)*A_INPUT!$B$109</f>
        <v>22484.3976299951</v>
      </c>
      <c r="N61" s="45" t="n">
        <f aca="false">L61-M61</f>
        <v>89937.5905199804</v>
      </c>
      <c r="O61" s="45" t="n">
        <f aca="false">IF(A61=A_INPUT!$B$112*12,MAX(0,C_CALC!$B$66*(1-A61/12/A_INPUT!$B$107))+MAX(0,C_CALC!$B$67*(1-A61/12/A_INPUT!$B$108))+C_CALC!$B$68+A_INPUT!$B$50,0)</f>
        <v>0</v>
      </c>
      <c r="P61" s="45" t="n">
        <f aca="false">F61-M61+O61</f>
        <v>104954.46551998</v>
      </c>
      <c r="Q61" s="45" t="n">
        <f aca="false">Q60+P61</f>
        <v>3665930.86269309</v>
      </c>
      <c r="R61" s="45" t="n">
        <f aca="false">N61+G61-J61+O61</f>
        <v>104954.46551998</v>
      </c>
      <c r="S61" s="75" t="n">
        <f aca="false">1/(1+A_INPUT!$B$110/12)^A61</f>
        <v>0.638818212861409</v>
      </c>
      <c r="T61" s="45" t="n">
        <f aca="false">P61*S61</f>
        <v>67046.8240952983</v>
      </c>
      <c r="U61" s="45" t="n">
        <f aca="false">U60+T61</f>
        <v>2637209.76050895</v>
      </c>
      <c r="W61" s="76" t="n">
        <f aca="false">IF(AND(Q61&gt;=0,Q60&lt;0),A61,0)</f>
        <v>0</v>
      </c>
      <c r="X61" s="76" t="n">
        <f aca="false">IF(AND(U61&gt;=0,U60&lt;0),A61,0)</f>
        <v>0</v>
      </c>
    </row>
    <row r="62" customFormat="false" ht="15" hidden="false" customHeight="false" outlineLevel="0" collapsed="false">
      <c r="A62" s="73" t="n">
        <v>55</v>
      </c>
      <c r="B62" s="73" t="n">
        <f aca="false">ROUNDUP(A62/12,0)</f>
        <v>5</v>
      </c>
      <c r="C62" s="45" t="n">
        <f aca="false">IF(A62&gt;A_INPUT!$B$112*12,0,C_CALC!$B$43*(1+A_INPUT!$B$111)^(B62-1))</f>
        <v>249945.586213235</v>
      </c>
      <c r="D62" s="45" t="n">
        <f aca="false">-C62*C_CALC!$B$57</f>
        <v>-71535.7334799265</v>
      </c>
      <c r="E62" s="45" t="n">
        <f aca="false">IF(A62&gt;A_INPUT!$B$112*12,0,-((A_INPUT!$B$87-A_INPUT!$B$77)-IF(B62=1,F_SERVICE!$B$32,0)+A_INPUT!$B$77*(1+A_INPUT!$B$78)^(B62-1)))</f>
        <v>-50970.9895833333</v>
      </c>
      <c r="F62" s="45" t="n">
        <f aca="false">C62+D62+E62</f>
        <v>127438.863149976</v>
      </c>
      <c r="G62" s="45" t="n">
        <f aca="false">IF(A62&gt;A_INPUT!$B$112*12,0,IF(A62&lt;=A_INPUT!$B$107*12,IFERROR(C_CALC!$B$66/A_INPUT!$B$107/12,0),0)+IF(A62&lt;=A_INPUT!$B$108*12,IFERROR(C_CALC!$B$67/A_INPUT!$B$108/12,0),0))</f>
        <v>15016.875</v>
      </c>
      <c r="H62" s="45" t="n">
        <f aca="false">K61</f>
        <v>0</v>
      </c>
      <c r="I62" s="45" t="n">
        <f aca="false">H62*A_INPUT!$B$105/12</f>
        <v>0</v>
      </c>
      <c r="J62" s="45" t="n">
        <f aca="false">IF(H62&lt;=0,0,MIN(H62,C_CALC!$B$72-I62))</f>
        <v>0</v>
      </c>
      <c r="K62" s="45" t="n">
        <f aca="false">MAX(0,H62-J62)</f>
        <v>0</v>
      </c>
      <c r="L62" s="45" t="n">
        <f aca="false">F62-G62-I62</f>
        <v>112421.988149976</v>
      </c>
      <c r="M62" s="45" t="n">
        <f aca="false">MAX(0,L62)*A_INPUT!$B$109</f>
        <v>22484.3976299951</v>
      </c>
      <c r="N62" s="45" t="n">
        <f aca="false">L62-M62</f>
        <v>89937.5905199804</v>
      </c>
      <c r="O62" s="45" t="n">
        <f aca="false">IF(A62=A_INPUT!$B$112*12,MAX(0,C_CALC!$B$66*(1-A62/12/A_INPUT!$B$107))+MAX(0,C_CALC!$B$67*(1-A62/12/A_INPUT!$B$108))+C_CALC!$B$68+A_INPUT!$B$50,0)</f>
        <v>0</v>
      </c>
      <c r="P62" s="45" t="n">
        <f aca="false">F62-M62+O62</f>
        <v>104954.46551998</v>
      </c>
      <c r="Q62" s="45" t="n">
        <f aca="false">Q61+P62</f>
        <v>3770885.32821307</v>
      </c>
      <c r="R62" s="45" t="n">
        <f aca="false">N62+G62-J62+O62</f>
        <v>104954.46551998</v>
      </c>
      <c r="S62" s="75" t="n">
        <f aca="false">1/(1+A_INPUT!$B$110/12)^A62</f>
        <v>0.633538723498918</v>
      </c>
      <c r="T62" s="45" t="n">
        <f aca="false">P62*S62</f>
        <v>66492.7181110396</v>
      </c>
      <c r="U62" s="45" t="n">
        <f aca="false">U61+T62</f>
        <v>2703702.47861999</v>
      </c>
      <c r="W62" s="76" t="n">
        <f aca="false">IF(AND(Q62&gt;=0,Q61&lt;0),A62,0)</f>
        <v>0</v>
      </c>
      <c r="X62" s="76" t="n">
        <f aca="false">IF(AND(U62&gt;=0,U61&lt;0),A62,0)</f>
        <v>0</v>
      </c>
    </row>
    <row r="63" customFormat="false" ht="15" hidden="false" customHeight="false" outlineLevel="0" collapsed="false">
      <c r="A63" s="73" t="n">
        <v>56</v>
      </c>
      <c r="B63" s="73" t="n">
        <f aca="false">ROUNDUP(A63/12,0)</f>
        <v>5</v>
      </c>
      <c r="C63" s="45" t="n">
        <f aca="false">IF(A63&gt;A_INPUT!$B$112*12,0,C_CALC!$B$43*(1+A_INPUT!$B$111)^(B63-1))</f>
        <v>249945.586213235</v>
      </c>
      <c r="D63" s="45" t="n">
        <f aca="false">-C63*C_CALC!$B$57</f>
        <v>-71535.7334799265</v>
      </c>
      <c r="E63" s="45" t="n">
        <f aca="false">IF(A63&gt;A_INPUT!$B$112*12,0,-((A_INPUT!$B$87-A_INPUT!$B$77)-IF(B63=1,F_SERVICE!$B$32,0)+A_INPUT!$B$77*(1+A_INPUT!$B$78)^(B63-1)))</f>
        <v>-50970.9895833333</v>
      </c>
      <c r="F63" s="45" t="n">
        <f aca="false">C63+D63+E63</f>
        <v>127438.863149976</v>
      </c>
      <c r="G63" s="45" t="n">
        <f aca="false">IF(A63&gt;A_INPUT!$B$112*12,0,IF(A63&lt;=A_INPUT!$B$107*12,IFERROR(C_CALC!$B$66/A_INPUT!$B$107/12,0),0)+IF(A63&lt;=A_INPUT!$B$108*12,IFERROR(C_CALC!$B$67/A_INPUT!$B$108/12,0),0))</f>
        <v>15016.875</v>
      </c>
      <c r="H63" s="45" t="n">
        <f aca="false">K62</f>
        <v>0</v>
      </c>
      <c r="I63" s="45" t="n">
        <f aca="false">H63*A_INPUT!$B$105/12</f>
        <v>0</v>
      </c>
      <c r="J63" s="45" t="n">
        <f aca="false">IF(H63&lt;=0,0,MIN(H63,C_CALC!$B$72-I63))</f>
        <v>0</v>
      </c>
      <c r="K63" s="45" t="n">
        <f aca="false">MAX(0,H63-J63)</f>
        <v>0</v>
      </c>
      <c r="L63" s="45" t="n">
        <f aca="false">F63-G63-I63</f>
        <v>112421.988149976</v>
      </c>
      <c r="M63" s="45" t="n">
        <f aca="false">MAX(0,L63)*A_INPUT!$B$109</f>
        <v>22484.3976299951</v>
      </c>
      <c r="N63" s="45" t="n">
        <f aca="false">L63-M63</f>
        <v>89937.5905199804</v>
      </c>
      <c r="O63" s="45" t="n">
        <f aca="false">IF(A63=A_INPUT!$B$112*12,MAX(0,C_CALC!$B$66*(1-A63/12/A_INPUT!$B$107))+MAX(0,C_CALC!$B$67*(1-A63/12/A_INPUT!$B$108))+C_CALC!$B$68+A_INPUT!$B$50,0)</f>
        <v>0</v>
      </c>
      <c r="P63" s="45" t="n">
        <f aca="false">F63-M63+O63</f>
        <v>104954.46551998</v>
      </c>
      <c r="Q63" s="45" t="n">
        <f aca="false">Q62+P63</f>
        <v>3875839.79373305</v>
      </c>
      <c r="R63" s="45" t="n">
        <f aca="false">N63+G63-J63+O63</f>
        <v>104954.46551998</v>
      </c>
      <c r="S63" s="75" t="n">
        <f aca="false">1/(1+A_INPUT!$B$110/12)^A63</f>
        <v>0.628302866279919</v>
      </c>
      <c r="T63" s="45" t="n">
        <f aca="false">P63*S63</f>
        <v>65943.1915150806</v>
      </c>
      <c r="U63" s="45" t="n">
        <f aca="false">U62+T63</f>
        <v>2769645.67013507</v>
      </c>
      <c r="W63" s="76" t="n">
        <f aca="false">IF(AND(Q63&gt;=0,Q62&lt;0),A63,0)</f>
        <v>0</v>
      </c>
      <c r="X63" s="76" t="n">
        <f aca="false">IF(AND(U63&gt;=0,U62&lt;0),A63,0)</f>
        <v>0</v>
      </c>
    </row>
    <row r="64" customFormat="false" ht="15" hidden="false" customHeight="false" outlineLevel="0" collapsed="false">
      <c r="A64" s="73" t="n">
        <v>57</v>
      </c>
      <c r="B64" s="73" t="n">
        <f aca="false">ROUNDUP(A64/12,0)</f>
        <v>5</v>
      </c>
      <c r="C64" s="45" t="n">
        <f aca="false">IF(A64&gt;A_INPUT!$B$112*12,0,C_CALC!$B$43*(1+A_INPUT!$B$111)^(B64-1))</f>
        <v>249945.586213235</v>
      </c>
      <c r="D64" s="45" t="n">
        <f aca="false">-C64*C_CALC!$B$57</f>
        <v>-71535.7334799265</v>
      </c>
      <c r="E64" s="45" t="n">
        <f aca="false">IF(A64&gt;A_INPUT!$B$112*12,0,-((A_INPUT!$B$87-A_INPUT!$B$77)-IF(B64=1,F_SERVICE!$B$32,0)+A_INPUT!$B$77*(1+A_INPUT!$B$78)^(B64-1)))</f>
        <v>-50970.9895833333</v>
      </c>
      <c r="F64" s="45" t="n">
        <f aca="false">C64+D64+E64</f>
        <v>127438.863149976</v>
      </c>
      <c r="G64" s="45" t="n">
        <f aca="false">IF(A64&gt;A_INPUT!$B$112*12,0,IF(A64&lt;=A_INPUT!$B$107*12,IFERROR(C_CALC!$B$66/A_INPUT!$B$107/12,0),0)+IF(A64&lt;=A_INPUT!$B$108*12,IFERROR(C_CALC!$B$67/A_INPUT!$B$108/12,0),0))</f>
        <v>15016.875</v>
      </c>
      <c r="H64" s="45" t="n">
        <f aca="false">K63</f>
        <v>0</v>
      </c>
      <c r="I64" s="45" t="n">
        <f aca="false">H64*A_INPUT!$B$105/12</f>
        <v>0</v>
      </c>
      <c r="J64" s="45" t="n">
        <f aca="false">IF(H64&lt;=0,0,MIN(H64,C_CALC!$B$72-I64))</f>
        <v>0</v>
      </c>
      <c r="K64" s="45" t="n">
        <f aca="false">MAX(0,H64-J64)</f>
        <v>0</v>
      </c>
      <c r="L64" s="45" t="n">
        <f aca="false">F64-G64-I64</f>
        <v>112421.988149976</v>
      </c>
      <c r="M64" s="45" t="n">
        <f aca="false">MAX(0,L64)*A_INPUT!$B$109</f>
        <v>22484.3976299951</v>
      </c>
      <c r="N64" s="45" t="n">
        <f aca="false">L64-M64</f>
        <v>89937.5905199804</v>
      </c>
      <c r="O64" s="45" t="n">
        <f aca="false">IF(A64=A_INPUT!$B$112*12,MAX(0,C_CALC!$B$66*(1-A64/12/A_INPUT!$B$107))+MAX(0,C_CALC!$B$67*(1-A64/12/A_INPUT!$B$108))+C_CALC!$B$68+A_INPUT!$B$50,0)</f>
        <v>0</v>
      </c>
      <c r="P64" s="45" t="n">
        <f aca="false">F64-M64+O64</f>
        <v>104954.46551998</v>
      </c>
      <c r="Q64" s="45" t="n">
        <f aca="false">Q63+P64</f>
        <v>3980794.25925303</v>
      </c>
      <c r="R64" s="45" t="n">
        <f aca="false">N64+G64-J64+O64</f>
        <v>104954.46551998</v>
      </c>
      <c r="S64" s="75" t="n">
        <f aca="false">1/(1+A_INPUT!$B$110/12)^A64</f>
        <v>0.623110280608184</v>
      </c>
      <c r="T64" s="45" t="n">
        <f aca="false">P64*S64</f>
        <v>65398.206461237</v>
      </c>
      <c r="U64" s="45" t="n">
        <f aca="false">U63+T64</f>
        <v>2835043.87659631</v>
      </c>
      <c r="W64" s="76" t="n">
        <f aca="false">IF(AND(Q64&gt;=0,Q63&lt;0),A64,0)</f>
        <v>0</v>
      </c>
      <c r="X64" s="76" t="n">
        <f aca="false">IF(AND(U64&gt;=0,U63&lt;0),A64,0)</f>
        <v>0</v>
      </c>
    </row>
    <row r="65" customFormat="false" ht="15" hidden="false" customHeight="false" outlineLevel="0" collapsed="false">
      <c r="A65" s="73" t="n">
        <v>58</v>
      </c>
      <c r="B65" s="73" t="n">
        <f aca="false">ROUNDUP(A65/12,0)</f>
        <v>5</v>
      </c>
      <c r="C65" s="45" t="n">
        <f aca="false">IF(A65&gt;A_INPUT!$B$112*12,0,C_CALC!$B$43*(1+A_INPUT!$B$111)^(B65-1))</f>
        <v>249945.586213235</v>
      </c>
      <c r="D65" s="45" t="n">
        <f aca="false">-C65*C_CALC!$B$57</f>
        <v>-71535.7334799265</v>
      </c>
      <c r="E65" s="45" t="n">
        <f aca="false">IF(A65&gt;A_INPUT!$B$112*12,0,-((A_INPUT!$B$87-A_INPUT!$B$77)-IF(B65=1,F_SERVICE!$B$32,0)+A_INPUT!$B$77*(1+A_INPUT!$B$78)^(B65-1)))</f>
        <v>-50970.9895833333</v>
      </c>
      <c r="F65" s="45" t="n">
        <f aca="false">C65+D65+E65</f>
        <v>127438.863149976</v>
      </c>
      <c r="G65" s="45" t="n">
        <f aca="false">IF(A65&gt;A_INPUT!$B$112*12,0,IF(A65&lt;=A_INPUT!$B$107*12,IFERROR(C_CALC!$B$66/A_INPUT!$B$107/12,0),0)+IF(A65&lt;=A_INPUT!$B$108*12,IFERROR(C_CALC!$B$67/A_INPUT!$B$108/12,0),0))</f>
        <v>15016.875</v>
      </c>
      <c r="H65" s="45" t="n">
        <f aca="false">K64</f>
        <v>0</v>
      </c>
      <c r="I65" s="45" t="n">
        <f aca="false">H65*A_INPUT!$B$105/12</f>
        <v>0</v>
      </c>
      <c r="J65" s="45" t="n">
        <f aca="false">IF(H65&lt;=0,0,MIN(H65,C_CALC!$B$72-I65))</f>
        <v>0</v>
      </c>
      <c r="K65" s="45" t="n">
        <f aca="false">MAX(0,H65-J65)</f>
        <v>0</v>
      </c>
      <c r="L65" s="45" t="n">
        <f aca="false">F65-G65-I65</f>
        <v>112421.988149976</v>
      </c>
      <c r="M65" s="45" t="n">
        <f aca="false">MAX(0,L65)*A_INPUT!$B$109</f>
        <v>22484.3976299951</v>
      </c>
      <c r="N65" s="45" t="n">
        <f aca="false">L65-M65</f>
        <v>89937.5905199804</v>
      </c>
      <c r="O65" s="45" t="n">
        <f aca="false">IF(A65=A_INPUT!$B$112*12,MAX(0,C_CALC!$B$66*(1-A65/12/A_INPUT!$B$107))+MAX(0,C_CALC!$B$67*(1-A65/12/A_INPUT!$B$108))+C_CALC!$B$68+A_INPUT!$B$50,0)</f>
        <v>0</v>
      </c>
      <c r="P65" s="45" t="n">
        <f aca="false">F65-M65+O65</f>
        <v>104954.46551998</v>
      </c>
      <c r="Q65" s="45" t="n">
        <f aca="false">Q64+P65</f>
        <v>4085748.72477301</v>
      </c>
      <c r="R65" s="45" t="n">
        <f aca="false">N65+G65-J65+O65</f>
        <v>104954.46551998</v>
      </c>
      <c r="S65" s="75" t="n">
        <f aca="false">1/(1+A_INPUT!$B$110/12)^A65</f>
        <v>0.617960608867621</v>
      </c>
      <c r="T65" s="45" t="n">
        <f aca="false">P65*S65</f>
        <v>64857.7254161028</v>
      </c>
      <c r="U65" s="45" t="n">
        <f aca="false">U64+T65</f>
        <v>2899901.60201241</v>
      </c>
      <c r="W65" s="76" t="n">
        <f aca="false">IF(AND(Q65&gt;=0,Q64&lt;0),A65,0)</f>
        <v>0</v>
      </c>
      <c r="X65" s="76" t="n">
        <f aca="false">IF(AND(U65&gt;=0,U64&lt;0),A65,0)</f>
        <v>0</v>
      </c>
    </row>
    <row r="66" customFormat="false" ht="15" hidden="false" customHeight="false" outlineLevel="0" collapsed="false">
      <c r="A66" s="73" t="n">
        <v>59</v>
      </c>
      <c r="B66" s="73" t="n">
        <f aca="false">ROUNDUP(A66/12,0)</f>
        <v>5</v>
      </c>
      <c r="C66" s="45" t="n">
        <f aca="false">IF(A66&gt;A_INPUT!$B$112*12,0,C_CALC!$B$43*(1+A_INPUT!$B$111)^(B66-1))</f>
        <v>249945.586213235</v>
      </c>
      <c r="D66" s="45" t="n">
        <f aca="false">-C66*C_CALC!$B$57</f>
        <v>-71535.7334799265</v>
      </c>
      <c r="E66" s="45" t="n">
        <f aca="false">IF(A66&gt;A_INPUT!$B$112*12,0,-((A_INPUT!$B$87-A_INPUT!$B$77)-IF(B66=1,F_SERVICE!$B$32,0)+A_INPUT!$B$77*(1+A_INPUT!$B$78)^(B66-1)))</f>
        <v>-50970.9895833333</v>
      </c>
      <c r="F66" s="45" t="n">
        <f aca="false">C66+D66+E66</f>
        <v>127438.863149976</v>
      </c>
      <c r="G66" s="45" t="n">
        <f aca="false">IF(A66&gt;A_INPUT!$B$112*12,0,IF(A66&lt;=A_INPUT!$B$107*12,IFERROR(C_CALC!$B$66/A_INPUT!$B$107/12,0),0)+IF(A66&lt;=A_INPUT!$B$108*12,IFERROR(C_CALC!$B$67/A_INPUT!$B$108/12,0),0))</f>
        <v>15016.875</v>
      </c>
      <c r="H66" s="45" t="n">
        <f aca="false">K65</f>
        <v>0</v>
      </c>
      <c r="I66" s="45" t="n">
        <f aca="false">H66*A_INPUT!$B$105/12</f>
        <v>0</v>
      </c>
      <c r="J66" s="45" t="n">
        <f aca="false">IF(H66&lt;=0,0,MIN(H66,C_CALC!$B$72-I66))</f>
        <v>0</v>
      </c>
      <c r="K66" s="45" t="n">
        <f aca="false">MAX(0,H66-J66)</f>
        <v>0</v>
      </c>
      <c r="L66" s="45" t="n">
        <f aca="false">F66-G66-I66</f>
        <v>112421.988149976</v>
      </c>
      <c r="M66" s="45" t="n">
        <f aca="false">MAX(0,L66)*A_INPUT!$B$109</f>
        <v>22484.3976299951</v>
      </c>
      <c r="N66" s="45" t="n">
        <f aca="false">L66-M66</f>
        <v>89937.5905199804</v>
      </c>
      <c r="O66" s="45" t="n">
        <f aca="false">IF(A66=A_INPUT!$B$112*12,MAX(0,C_CALC!$B$66*(1-A66/12/A_INPUT!$B$107))+MAX(0,C_CALC!$B$67*(1-A66/12/A_INPUT!$B$108))+C_CALC!$B$68+A_INPUT!$B$50,0)</f>
        <v>0</v>
      </c>
      <c r="P66" s="45" t="n">
        <f aca="false">F66-M66+O66</f>
        <v>104954.46551998</v>
      </c>
      <c r="Q66" s="45" t="n">
        <f aca="false">Q65+P66</f>
        <v>4190703.19029299</v>
      </c>
      <c r="R66" s="45" t="n">
        <f aca="false">N66+G66-J66+O66</f>
        <v>104954.46551998</v>
      </c>
      <c r="S66" s="75" t="n">
        <f aca="false">1/(1+A_INPUT!$B$110/12)^A66</f>
        <v>0.61285349639764</v>
      </c>
      <c r="T66" s="45" t="n">
        <f aca="false">P66*S66</f>
        <v>64321.7111564656</v>
      </c>
      <c r="U66" s="45" t="n">
        <f aca="false">U65+T66</f>
        <v>2964223.31316887</v>
      </c>
      <c r="W66" s="76" t="n">
        <f aca="false">IF(AND(Q66&gt;=0,Q65&lt;0),A66,0)</f>
        <v>0</v>
      </c>
      <c r="X66" s="76" t="n">
        <f aca="false">IF(AND(U66&gt;=0,U65&lt;0),A66,0)</f>
        <v>0</v>
      </c>
    </row>
    <row r="67" customFormat="false" ht="15" hidden="false" customHeight="false" outlineLevel="0" collapsed="false">
      <c r="A67" s="77" t="n">
        <v>60</v>
      </c>
      <c r="B67" s="77" t="n">
        <f aca="false">ROUNDUP(A67/12,0)</f>
        <v>5</v>
      </c>
      <c r="C67" s="78" t="n">
        <f aca="false">IF(A67&gt;A_INPUT!$B$112*12,0,C_CALC!$B$43*(1+A_INPUT!$B$111)^(B67-1))</f>
        <v>249945.586213235</v>
      </c>
      <c r="D67" s="78" t="n">
        <f aca="false">-C67*C_CALC!$B$57</f>
        <v>-71535.7334799265</v>
      </c>
      <c r="E67" s="78" t="n">
        <f aca="false">IF(A67&gt;A_INPUT!$B$112*12,0,-((A_INPUT!$B$87-A_INPUT!$B$77)-IF(B67=1,F_SERVICE!$B$32,0)+A_INPUT!$B$77*(1+A_INPUT!$B$78)^(B67-1)))</f>
        <v>-50970.9895833333</v>
      </c>
      <c r="F67" s="78" t="n">
        <f aca="false">C67+D67+E67</f>
        <v>127438.863149976</v>
      </c>
      <c r="G67" s="78" t="n">
        <f aca="false">IF(A67&gt;A_INPUT!$B$112*12,0,IF(A67&lt;=A_INPUT!$B$107*12,IFERROR(C_CALC!$B$66/A_INPUT!$B$107/12,0),0)+IF(A67&lt;=A_INPUT!$B$108*12,IFERROR(C_CALC!$B$67/A_INPUT!$B$108/12,0),0))</f>
        <v>15016.875</v>
      </c>
      <c r="H67" s="78" t="n">
        <f aca="false">K66</f>
        <v>0</v>
      </c>
      <c r="I67" s="78" t="n">
        <f aca="false">H67*A_INPUT!$B$105/12</f>
        <v>0</v>
      </c>
      <c r="J67" s="78" t="n">
        <f aca="false">IF(H67&lt;=0,0,MIN(H67,C_CALC!$B$72-I67))</f>
        <v>0</v>
      </c>
      <c r="K67" s="78" t="n">
        <f aca="false">MAX(0,H67-J67)</f>
        <v>0</v>
      </c>
      <c r="L67" s="78" t="n">
        <f aca="false">F67-G67-I67</f>
        <v>112421.988149976</v>
      </c>
      <c r="M67" s="78" t="n">
        <f aca="false">MAX(0,L67)*A_INPUT!$B$109</f>
        <v>22484.3976299951</v>
      </c>
      <c r="N67" s="78" t="n">
        <f aca="false">L67-M67</f>
        <v>89937.5905199804</v>
      </c>
      <c r="O67" s="78" t="n">
        <f aca="false">IF(A67=A_INPUT!$B$112*12,MAX(0,C_CALC!$B$66*(1-A67/12/A_INPUT!$B$107))+MAX(0,C_CALC!$B$67*(1-A67/12/A_INPUT!$B$108))+C_CALC!$B$68+A_INPUT!$B$50,0)</f>
        <v>460987.5</v>
      </c>
      <c r="P67" s="78" t="n">
        <f aca="false">F67-M67+O67</f>
        <v>565941.96551998</v>
      </c>
      <c r="Q67" s="78" t="n">
        <f aca="false">Q66+P67</f>
        <v>4756645.15581297</v>
      </c>
      <c r="R67" s="78" t="n">
        <f aca="false">N67+G67-J67+O67</f>
        <v>565941.96551998</v>
      </c>
      <c r="S67" s="79" t="n">
        <f aca="false">1/(1+A_INPUT!$B$110/12)^A67</f>
        <v>0.607788591468734</v>
      </c>
      <c r="T67" s="78" t="n">
        <f aca="false">P67*S67</f>
        <v>343973.070076436</v>
      </c>
      <c r="U67" s="78" t="n">
        <f aca="false">U66+T67</f>
        <v>3308196.38324531</v>
      </c>
      <c r="W67" s="76" t="n">
        <f aca="false">IF(AND(Q67&gt;=0,Q66&lt;0),A67,0)</f>
        <v>0</v>
      </c>
      <c r="X67" s="76" t="n">
        <f aca="false">IF(AND(U67&gt;=0,U66&lt;0),A67,0)</f>
        <v>0</v>
      </c>
    </row>
  </sheetData>
  <mergeCells count="1">
    <mergeCell ref="A1:U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true"/>
  </sheetPr>
  <dimension ref="A1:G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56"/>
  </cols>
  <sheetData>
    <row r="1" customFormat="false" ht="25.5" hidden="false" customHeight="true" outlineLevel="0" collapsed="false">
      <c r="A1" s="30" t="s">
        <v>577</v>
      </c>
      <c r="B1" s="30"/>
      <c r="C1" s="30"/>
      <c r="D1" s="30"/>
      <c r="E1" s="30"/>
    </row>
    <row r="2" customFormat="false" ht="15" hidden="false" customHeight="false" outlineLevel="0" collapsed="false">
      <c r="A2" s="31" t="s">
        <v>578</v>
      </c>
    </row>
    <row r="4" customFormat="false" ht="19.5" hidden="false" customHeight="true" outlineLevel="0" collapsed="false">
      <c r="A4" s="11" t="s">
        <v>579</v>
      </c>
      <c r="B4" s="11"/>
      <c r="C4" s="11"/>
      <c r="D4" s="11"/>
      <c r="E4" s="11"/>
      <c r="F4" s="12"/>
      <c r="G4" s="12"/>
    </row>
    <row r="5" customFormat="false" ht="15" hidden="false" customHeight="false" outlineLevel="0" collapsed="false">
      <c r="A5" s="13" t="s">
        <v>320</v>
      </c>
      <c r="B5" s="23" t="n">
        <f aca="false">INDEX(B_PACKAGES!$D$19:$G$19,MATCH(A_INPUT!$B$25,B_PACKAGES!$D$12:$G$12,0))</f>
        <v>3</v>
      </c>
      <c r="D5" s="15" t="s">
        <v>140</v>
      </c>
      <c r="E5" s="16" t="s">
        <v>580</v>
      </c>
    </row>
    <row r="6" customFormat="false" ht="15" hidden="false" customHeight="false" outlineLevel="0" collapsed="false">
      <c r="A6" s="13" t="s">
        <v>581</v>
      </c>
      <c r="B6" s="18" t="n">
        <v>1</v>
      </c>
      <c r="D6" s="15" t="s">
        <v>97</v>
      </c>
      <c r="E6" s="16" t="s">
        <v>272</v>
      </c>
    </row>
    <row r="7" customFormat="false" ht="15" hidden="false" customHeight="false" outlineLevel="0" collapsed="false">
      <c r="A7" s="13" t="s">
        <v>582</v>
      </c>
      <c r="B7" s="23" t="n">
        <f aca="false">INDEX(B_PACKAGES!$D$18:$G$18,MATCH(A_INPUT!$B$25,B_PACKAGES!$D$12:$G$12,0))</f>
        <v>2</v>
      </c>
      <c r="D7" s="15" t="s">
        <v>140</v>
      </c>
      <c r="E7" s="16" t="s">
        <v>583</v>
      </c>
    </row>
    <row r="8" customFormat="false" ht="15" hidden="false" customHeight="false" outlineLevel="0" collapsed="false">
      <c r="A8" s="13" t="s">
        <v>322</v>
      </c>
      <c r="B8" s="23" t="n">
        <f aca="false">INDEX(B_PACKAGES!$D$20:$G$20,MATCH(A_INPUT!$B$25,B_PACKAGES!$D$12:$G$12,0))</f>
        <v>1</v>
      </c>
      <c r="D8" s="15" t="s">
        <v>140</v>
      </c>
      <c r="E8" s="16" t="s">
        <v>584</v>
      </c>
    </row>
    <row r="10" customFormat="false" ht="19.5" hidden="false" customHeight="true" outlineLevel="0" collapsed="false">
      <c r="A10" s="11" t="s">
        <v>585</v>
      </c>
      <c r="B10" s="11"/>
      <c r="C10" s="11"/>
      <c r="D10" s="11"/>
      <c r="E10" s="11"/>
      <c r="F10" s="12"/>
      <c r="G10" s="12"/>
    </row>
    <row r="11" customFormat="false" ht="15" hidden="false" customHeight="false" outlineLevel="0" collapsed="false">
      <c r="A11" s="13" t="s">
        <v>586</v>
      </c>
      <c r="B11" s="18" t="n">
        <v>3500</v>
      </c>
      <c r="D11" s="15" t="s">
        <v>97</v>
      </c>
      <c r="E11" s="16" t="s">
        <v>587</v>
      </c>
    </row>
    <row r="12" customFormat="false" ht="15" hidden="false" customHeight="false" outlineLevel="0" collapsed="false">
      <c r="A12" s="13" t="s">
        <v>588</v>
      </c>
      <c r="B12" s="18" t="n">
        <v>2</v>
      </c>
      <c r="D12" s="15" t="s">
        <v>97</v>
      </c>
      <c r="E12" s="16" t="s">
        <v>589</v>
      </c>
    </row>
    <row r="13" customFormat="false" ht="15" hidden="false" customHeight="false" outlineLevel="0" collapsed="false">
      <c r="A13" s="13" t="s">
        <v>590</v>
      </c>
      <c r="B13" s="21" t="n">
        <f aca="false">F_SERVICE!$B$11*F_SERVICE!$B$12</f>
        <v>7000</v>
      </c>
      <c r="D13" s="15" t="s">
        <v>119</v>
      </c>
      <c r="E13" s="16" t="s">
        <v>529</v>
      </c>
    </row>
    <row r="14" customFormat="false" ht="15" hidden="false" customHeight="false" outlineLevel="0" collapsed="false">
      <c r="A14" s="24" t="s">
        <v>591</v>
      </c>
      <c r="B14" s="54" t="n">
        <f aca="false">F_SERVICE!$B$13/12</f>
        <v>583.333333333333</v>
      </c>
      <c r="D14" s="15" t="s">
        <v>119</v>
      </c>
      <c r="E14" s="16" t="s">
        <v>215</v>
      </c>
    </row>
    <row r="16" customFormat="false" ht="19.5" hidden="false" customHeight="true" outlineLevel="0" collapsed="false">
      <c r="A16" s="11" t="s">
        <v>592</v>
      </c>
      <c r="B16" s="11"/>
      <c r="C16" s="11"/>
      <c r="D16" s="11"/>
      <c r="E16" s="11"/>
      <c r="F16" s="12"/>
      <c r="G16" s="12"/>
    </row>
    <row r="17" customFormat="false" ht="15" hidden="false" customHeight="false" outlineLevel="0" collapsed="false">
      <c r="A17" s="80" t="s">
        <v>593</v>
      </c>
    </row>
    <row r="18" customFormat="false" ht="15" hidden="false" customHeight="false" outlineLevel="0" collapsed="false">
      <c r="A18" s="13" t="s">
        <v>594</v>
      </c>
      <c r="B18" s="21" t="n">
        <v>0</v>
      </c>
      <c r="D18" s="15" t="s">
        <v>119</v>
      </c>
      <c r="E18" s="16" t="s">
        <v>595</v>
      </c>
    </row>
    <row r="19" customFormat="false" ht="15" hidden="false" customHeight="false" outlineLevel="0" collapsed="false">
      <c r="A19" s="80" t="s">
        <v>596</v>
      </c>
    </row>
    <row r="20" customFormat="false" ht="15" hidden="false" customHeight="false" outlineLevel="0" collapsed="false">
      <c r="A20" s="13" t="s">
        <v>597</v>
      </c>
      <c r="B20" s="18" t="n">
        <v>100</v>
      </c>
      <c r="D20" s="15" t="s">
        <v>97</v>
      </c>
      <c r="E20" s="16" t="s">
        <v>598</v>
      </c>
    </row>
    <row r="21" customFormat="false" ht="15" hidden="false" customHeight="false" outlineLevel="0" collapsed="false">
      <c r="A21" s="13" t="s">
        <v>599</v>
      </c>
      <c r="B21" s="18" t="n">
        <v>700</v>
      </c>
      <c r="D21" s="15" t="s">
        <v>97</v>
      </c>
      <c r="E21" s="16" t="s">
        <v>600</v>
      </c>
    </row>
    <row r="22" customFormat="false" ht="15" hidden="false" customHeight="false" outlineLevel="0" collapsed="false">
      <c r="A22" s="13" t="s">
        <v>601</v>
      </c>
      <c r="B22" s="18" t="n">
        <v>8000</v>
      </c>
      <c r="D22" s="15" t="s">
        <v>97</v>
      </c>
      <c r="E22" s="16" t="s">
        <v>602</v>
      </c>
    </row>
    <row r="23" customFormat="false" ht="15" hidden="false" customHeight="false" outlineLevel="0" collapsed="false">
      <c r="A23" s="13" t="s">
        <v>603</v>
      </c>
      <c r="B23" s="23" t="n">
        <f aca="false">A_INPUT!$B$33</f>
        <v>10</v>
      </c>
      <c r="D23" s="15" t="s">
        <v>391</v>
      </c>
      <c r="E23" s="16" t="s">
        <v>141</v>
      </c>
    </row>
    <row r="24" customFormat="false" ht="15" hidden="false" customHeight="false" outlineLevel="0" collapsed="false">
      <c r="A24" s="24" t="s">
        <v>604</v>
      </c>
      <c r="B24" s="25" t="n">
        <f aca="false">F_SERVICE!$B$23*F_SERVICE!$B$20+IF(F_SERVICE!$B$23&gt;=7,F_SERVICE!$B$21,0)+F_SERVICE!$B$22/12</f>
        <v>2366.66666666667</v>
      </c>
      <c r="D24" s="15" t="s">
        <v>119</v>
      </c>
      <c r="E24" s="16" t="s">
        <v>215</v>
      </c>
    </row>
    <row r="25" customFormat="false" ht="15" hidden="false" customHeight="false" outlineLevel="0" collapsed="false">
      <c r="A25" s="13" t="s">
        <v>605</v>
      </c>
      <c r="B25" s="21" t="n">
        <f aca="false">IFERROR(F_SERVICE!$B$24/A_INPUT!$B$98,0)</f>
        <v>78888.8888888889</v>
      </c>
      <c r="D25" s="15" t="s">
        <v>119</v>
      </c>
      <c r="E25" s="16" t="s">
        <v>606</v>
      </c>
    </row>
    <row r="26" customFormat="false" ht="15" hidden="false" customHeight="false" outlineLevel="0" collapsed="false">
      <c r="A26" s="13" t="s">
        <v>607</v>
      </c>
      <c r="B26" s="23" t="n">
        <f aca="false">C_CALC!$B$43*A_INPUT!$B$99</f>
        <v>123378.511404562</v>
      </c>
      <c r="D26" s="15" t="s">
        <v>608</v>
      </c>
      <c r="E26" s="16" t="s">
        <v>609</v>
      </c>
    </row>
    <row r="27" customFormat="false" ht="15" hidden="false" customHeight="false" outlineLevel="0" collapsed="false">
      <c r="A27" s="13" t="s">
        <v>610</v>
      </c>
      <c r="B27" s="21" t="n">
        <f aca="false">F_SERVICE!$B$26*A_INPUT!$B$98</f>
        <v>3701.35534213685</v>
      </c>
      <c r="D27" s="15" t="s">
        <v>119</v>
      </c>
      <c r="E27" s="16" t="s">
        <v>215</v>
      </c>
    </row>
    <row r="28" customFormat="false" ht="15" hidden="false" customHeight="false" outlineLevel="0" collapsed="false">
      <c r="A28" s="13" t="s">
        <v>611</v>
      </c>
      <c r="B28" s="57" t="str">
        <f aca="false">IF(F_SERVICE!$B$27&gt;F_SERVICE!$B$24,"ทางเลือก B ถูกกว่า "&amp;TEXT(F_SERVICE!$B$27-F_SERVICE!$B$24,"#,##0")&amp;" บาท/เดือน — แต่ถ้าไม่เปิดสแกน ลูกค้าจ่ายได้เฉพาะเหรียญ/แบงก์ ซึ่งมักทำให้ยอดขายลดลงมากกว่าที่ประหยัดได้","ทางเลือก A (เปิดสแกน 3%) ถูกกว่า "&amp;TEXT(F_SERVICE!$B$24-F_SERVICE!$B$27,"#,##0")&amp;" บาท/เดือน และสะดวกกับลูกค้ามากกว่า")</f>
        <v>ทางเลือก B ถูกกว่า 1,335 บาท/เดือน — แต่ถ้าไม่เปิดสแกน ลูกค้าจ่ายได้เฉพาะเหรียญ/แบงก์ ซึ่งมักทำให้ยอดขายลดลงมากกว่าที่ประหยัดได้</v>
      </c>
      <c r="D28" s="15" t="s">
        <v>119</v>
      </c>
      <c r="E28" s="16" t="s">
        <v>612</v>
      </c>
    </row>
    <row r="29" customFormat="false" ht="15" hidden="false" customHeight="false" outlineLevel="0" collapsed="false">
      <c r="A29" s="24" t="s">
        <v>613</v>
      </c>
      <c r="B29" s="54" t="n">
        <f aca="false">IF(A_INPUT!$B$97="เปิดสแกน PromptPay 3% (ฟรีค่าบริการระบบ)",F_SERVICE!$B$18,F_SERVICE!$B$24)</f>
        <v>0</v>
      </c>
      <c r="D29" s="15" t="s">
        <v>119</v>
      </c>
      <c r="E29" s="16" t="s">
        <v>215</v>
      </c>
    </row>
    <row r="31" customFormat="false" ht="19.5" hidden="false" customHeight="true" outlineLevel="0" collapsed="false">
      <c r="A31" s="11" t="s">
        <v>614</v>
      </c>
      <c r="B31" s="11"/>
      <c r="C31" s="11"/>
      <c r="D31" s="11"/>
      <c r="E31" s="11"/>
      <c r="F31" s="12"/>
      <c r="G31" s="12"/>
    </row>
    <row r="32" customFormat="false" ht="15" hidden="false" customHeight="false" outlineLevel="0" collapsed="false">
      <c r="A32" s="24" t="s">
        <v>615</v>
      </c>
      <c r="B32" s="25" t="n">
        <f aca="false">F_SERVICE!$B$14+F_SERVICE!$B$29</f>
        <v>583.333333333333</v>
      </c>
      <c r="D32" s="15" t="s">
        <v>119</v>
      </c>
      <c r="E32" s="16" t="s">
        <v>616</v>
      </c>
    </row>
    <row r="33" customFormat="false" ht="15" hidden="false" customHeight="false" outlineLevel="0" collapsed="false">
      <c r="A33" s="13" t="s">
        <v>617</v>
      </c>
      <c r="B33" s="21" t="n">
        <f aca="false">(F_SERVICE!$B$14+F_SERVICE!$B$29)*12</f>
        <v>7000</v>
      </c>
      <c r="D33" s="15" t="s">
        <v>119</v>
      </c>
      <c r="E33" s="16" t="s">
        <v>529</v>
      </c>
    </row>
    <row r="34" customFormat="false" ht="15" hidden="false" customHeight="false" outlineLevel="0" collapsed="false">
      <c r="A34" s="80" t="s">
        <v>618</v>
      </c>
    </row>
    <row r="35" customFormat="false" ht="15" hidden="false" customHeight="false" outlineLevel="0" collapsed="false">
      <c r="A35" s="81" t="s">
        <v>619</v>
      </c>
    </row>
    <row r="36" customFormat="false" ht="15" hidden="false" customHeight="false" outlineLevel="0" collapsed="false">
      <c r="A36" s="81" t="s">
        <v>620</v>
      </c>
    </row>
    <row r="37" customFormat="false" ht="15" hidden="false" customHeight="false" outlineLevel="0" collapsed="false">
      <c r="A37" s="81" t="s">
        <v>621</v>
      </c>
    </row>
    <row r="38" customFormat="false" ht="15" hidden="false" customHeight="false" outlineLevel="0" collapsed="false">
      <c r="A38" s="81" t="s">
        <v>622</v>
      </c>
    </row>
  </sheetData>
  <mergeCells count="5">
    <mergeCell ref="A1:E1"/>
    <mergeCell ref="A4:E4"/>
    <mergeCell ref="A10:E10"/>
    <mergeCell ref="A16:E16"/>
    <mergeCell ref="A31:E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true"/>
  </sheetPr>
  <dimension ref="A1:I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4"/>
    <col collapsed="false" customWidth="true" hidden="false" outlineLevel="0" max="7" min="5" style="0" width="16"/>
    <col collapsed="false" customWidth="true" hidden="false" outlineLevel="0" max="9" min="8" style="0" width="14"/>
  </cols>
  <sheetData>
    <row r="1" customFormat="false" ht="25.5" hidden="false" customHeight="true" outlineLevel="0" collapsed="false">
      <c r="A1" s="30" t="s">
        <v>623</v>
      </c>
      <c r="B1" s="30"/>
      <c r="C1" s="30"/>
      <c r="D1" s="30"/>
      <c r="E1" s="30"/>
      <c r="F1" s="30"/>
      <c r="G1" s="30"/>
      <c r="H1" s="30"/>
      <c r="I1" s="30"/>
    </row>
    <row r="3" customFormat="false" ht="15" hidden="false" customHeight="false" outlineLevel="0" collapsed="false">
      <c r="A3" s="59" t="s">
        <v>624</v>
      </c>
      <c r="B3" s="60"/>
      <c r="C3" s="60"/>
      <c r="D3" s="60"/>
      <c r="E3" s="60"/>
      <c r="F3" s="60"/>
      <c r="G3" s="60"/>
      <c r="H3" s="60"/>
      <c r="I3" s="60"/>
    </row>
    <row r="4" customFormat="false" ht="30" hidden="false" customHeight="true" outlineLevel="0" collapsed="false">
      <c r="A4" s="32" t="s">
        <v>625</v>
      </c>
      <c r="B4" s="32" t="s">
        <v>626</v>
      </c>
      <c r="C4" s="32" t="s">
        <v>627</v>
      </c>
      <c r="D4" s="32" t="s">
        <v>628</v>
      </c>
      <c r="E4" s="32" t="s">
        <v>629</v>
      </c>
      <c r="F4" s="32" t="s">
        <v>630</v>
      </c>
      <c r="G4" s="32" t="s">
        <v>631</v>
      </c>
      <c r="H4" s="32" t="s">
        <v>632</v>
      </c>
      <c r="I4" s="32" t="s">
        <v>633</v>
      </c>
    </row>
    <row r="5" customFormat="false" ht="15" hidden="false" customHeight="false" outlineLevel="0" collapsed="false">
      <c r="A5" s="82" t="s">
        <v>634</v>
      </c>
      <c r="B5" s="83" t="n">
        <v>0.7</v>
      </c>
      <c r="C5" s="83" t="n">
        <v>0.9</v>
      </c>
      <c r="D5" s="83" t="n">
        <v>1.1</v>
      </c>
      <c r="E5" s="84" t="n">
        <f aca="false">(MIN(C_CALC!$B$27*$B5,C_CALC!$B$16)*C_CALC!$B$45*$C5+C_CALC!$B$41*$B5+C_CALC!$B$42)</f>
        <v>133033.232668067</v>
      </c>
      <c r="F5" s="84" t="n">
        <f aca="false">((MIN(C_CALC!$B$27*$B5,C_CALC!$B$16)*C_CALC!$B$45*$C5+C_CALC!$B$41*$B5+C_CALC!$B$42)*(1-C_CALC!$B$57)-(A_INPUT!$B$87+A_INPUT!$B$77*($D5-1)))</f>
        <v>46875.0926526227</v>
      </c>
      <c r="G5" s="85" t="n">
        <f aca="false">((((MIN(C_CALC!$B$27*$B5,C_CALC!$B$16)*C_CALC!$B$45*$C5+C_CALC!$B$41*$B5+C_CALC!$B$42)*(1-C_CALC!$B$57)-(A_INPUT!$B$87+A_INPUT!$B$77*($D5-1)))-C_CALC!$B$79-C_CALC!$B$81)-MAX(0,(((MIN(C_CALC!$B$27*$B5,C_CALC!$B$16)*C_CALC!$B$45*$C5+C_CALC!$B$41*$B5+C_CALC!$B$42)*(1-C_CALC!$B$57)-(A_INPUT!$B$87+A_INPUT!$B$77*($D5-1)))-C_CALC!$B$79-C_CALC!$B$81))*A_INPUT!$B$109)</f>
        <v>25486.5741220981</v>
      </c>
      <c r="H5" s="86" t="n">
        <f aca="false">IFERROR(IF(G5+C_CALC!$B$79&lt;=0,999,C_CALC!$B$69/(G5+C_CALC!$B$79)),999)</f>
        <v>33.6267658562666</v>
      </c>
      <c r="I5" s="87" t="n">
        <f aca="false">IFERROR(G5*12/C_CALC!$B$69,0)</f>
        <v>0.224551313851085</v>
      </c>
    </row>
    <row r="6" customFormat="false" ht="15" hidden="false" customHeight="false" outlineLevel="0" collapsed="false">
      <c r="A6" s="39" t="s">
        <v>635</v>
      </c>
      <c r="B6" s="83" t="n">
        <v>1</v>
      </c>
      <c r="C6" s="83" t="n">
        <v>1</v>
      </c>
      <c r="D6" s="83" t="n">
        <v>1</v>
      </c>
      <c r="E6" s="88" t="n">
        <f aca="false">(MIN(C_CALC!$B$27*$B6,C_CALC!$B$16)*C_CALC!$B$45*$C6+C_CALC!$B$41*$B6+C_CALC!$B$42)</f>
        <v>205630.852340936</v>
      </c>
      <c r="F6" s="88" t="n">
        <f aca="false">((MIN(C_CALC!$B$27*$B6,C_CALC!$B$16)*C_CALC!$B$45*$C6+C_CALC!$B$41*$B6+C_CALC!$B$42)*(1-C_CALC!$B$57)-(A_INPUT!$B$87+A_INPUT!$B$77*($D6-1)))</f>
        <v>101194.894037615</v>
      </c>
      <c r="G6" s="28" t="n">
        <f aca="false">((((MIN(C_CALC!$B$27*$B6,C_CALC!$B$16)*C_CALC!$B$45*$C6+C_CALC!$B$41*$B6+C_CALC!$B$42)*(1-C_CALC!$B$57)-(A_INPUT!$B$87+A_INPUT!$B$77*($D6-1)))-C_CALC!$B$79-C_CALC!$B$81)-MAX(0,(((MIN(C_CALC!$B$27*$B6,C_CALC!$B$16)*C_CALC!$B$45*$C6+C_CALC!$B$41*$B6+C_CALC!$B$42)*(1-C_CALC!$B$57)-(A_INPUT!$B$87+A_INPUT!$B$77*($D6-1)))-C_CALC!$B$79-C_CALC!$B$81))*A_INPUT!$B$109)</f>
        <v>68942.415230092</v>
      </c>
      <c r="H6" s="89" t="n">
        <f aca="false">IFERROR(IF(G6+C_CALC!$B$79&lt;=0,999,C_CALC!$B$69/(G6+C_CALC!$B$79)),999)</f>
        <v>16.2221476178207</v>
      </c>
      <c r="I6" s="90" t="n">
        <f aca="false">IFERROR(G6*12/C_CALC!$B$69,0)</f>
        <v>0.607422160617551</v>
      </c>
    </row>
    <row r="7" customFormat="false" ht="15" hidden="false" customHeight="false" outlineLevel="0" collapsed="false">
      <c r="A7" s="91" t="s">
        <v>636</v>
      </c>
      <c r="B7" s="83" t="n">
        <v>1.3</v>
      </c>
      <c r="C7" s="83" t="n">
        <v>1.1</v>
      </c>
      <c r="D7" s="83" t="n">
        <v>1</v>
      </c>
      <c r="E7" s="92" t="n">
        <f aca="false">(MIN(C_CALC!$B$27*$B7,C_CALC!$B$16)*C_CALC!$B$45*$C7+C_CALC!$B$41*$B7+C_CALC!$B$42)</f>
        <v>226994.057623049</v>
      </c>
      <c r="F7" s="92" t="n">
        <f aca="false">((MIN(C_CALC!$B$27*$B7,C_CALC!$B$16)*C_CALC!$B$45*$C7+C_CALC!$B$41*$B7+C_CALC!$B$42)*(1-C_CALC!$B$57)-(A_INPUT!$B$87+A_INPUT!$B$77*($D7-1)))</f>
        <v>116443.83828199</v>
      </c>
      <c r="G7" s="54" t="n">
        <f aca="false">((((MIN(C_CALC!$B$27*$B7,C_CALC!$B$16)*C_CALC!$B$45*$C7+C_CALC!$B$41*$B7+C_CALC!$B$42)*(1-C_CALC!$B$57)-(A_INPUT!$B$87+A_INPUT!$B$77*($D7-1)))-C_CALC!$B$79-C_CALC!$B$81)-MAX(0,(((MIN(C_CALC!$B$27*$B7,C_CALC!$B$16)*C_CALC!$B$45*$C7+C_CALC!$B$41*$B7+C_CALC!$B$42)*(1-C_CALC!$B$57)-(A_INPUT!$B$87+A_INPUT!$B$77*($D7-1)))-C_CALC!$B$79-C_CALC!$B$81))*A_INPUT!$B$109)</f>
        <v>81141.5706255919</v>
      </c>
      <c r="H7" s="93" t="n">
        <f aca="false">IFERROR(IF(G7+C_CALC!$B$79&lt;=0,999,C_CALC!$B$69/(G7+C_CALC!$B$79)),999)</f>
        <v>14.1641224661967</v>
      </c>
      <c r="I7" s="94" t="n">
        <f aca="false">IFERROR(G7*12/C_CALC!$B$69,0)</f>
        <v>0.714903705952351</v>
      </c>
    </row>
    <row r="9" customFormat="false" ht="15" hidden="false" customHeight="false" outlineLevel="0" collapsed="false">
      <c r="A9" s="35" t="s">
        <v>637</v>
      </c>
    </row>
    <row r="11" customFormat="false" ht="15" hidden="false" customHeight="false" outlineLevel="0" collapsed="false">
      <c r="A11" s="59" t="s">
        <v>638</v>
      </c>
      <c r="B11" s="60"/>
      <c r="C11" s="60"/>
      <c r="D11" s="60"/>
      <c r="E11" s="60"/>
      <c r="F11" s="60"/>
      <c r="G11" s="60"/>
      <c r="H11" s="60"/>
      <c r="I11" s="60"/>
    </row>
    <row r="12" customFormat="false" ht="15" hidden="false" customHeight="false" outlineLevel="0" collapsed="false">
      <c r="A12" s="32" t="s">
        <v>639</v>
      </c>
      <c r="B12" s="95" t="n">
        <v>0.2</v>
      </c>
      <c r="C12" s="95" t="n">
        <v>0.25</v>
      </c>
      <c r="D12" s="95" t="n">
        <v>0.3</v>
      </c>
      <c r="E12" s="95" t="n">
        <v>0.35</v>
      </c>
      <c r="F12" s="95" t="n">
        <v>0.4</v>
      </c>
      <c r="G12" s="95" t="n">
        <v>0.45</v>
      </c>
      <c r="H12" s="95" t="n">
        <v>0.5</v>
      </c>
    </row>
    <row r="13" customFormat="false" ht="15" hidden="false" customHeight="false" outlineLevel="0" collapsed="false">
      <c r="A13" s="95" t="n">
        <v>0.8</v>
      </c>
      <c r="B13" s="50" t="n">
        <f aca="false">IFERROR(IF(((((MIN(C_CALC!$B$27*(B$12/A_INPUT!$B$14),C_CALC!$B$16)*C_CALC!$B$45*$A13+C_CALC!$B$41*(B$12/A_INPUT!$B$14)+C_CALC!$B$42)*(1-C_CALC!$B$57)-(A_INPUT!$B$87+A_INPUT!$B$77*(1-1)))-C_CALC!$B$79-C_CALC!$B$81)-MAX(0,(((MIN(C_CALC!$B$27*(B$12/A_INPUT!$B$14),C_CALC!$B$16)*C_CALC!$B$45*$A13+C_CALC!$B$41*(B$12/A_INPUT!$B$14)+C_CALC!$B$42)*(1-C_CALC!$B$57)-(A_INPUT!$B$87+A_INPUT!$B$77*(1-1)))-C_CALC!$B$79-C_CALC!$B$81))*A_INPUT!$B$109)+C_CALC!$B$79&lt;=0,999,C_CALC!$B$69/(((((MIN(C_CALC!$B$27*(B$12/A_INPUT!$B$14),C_CALC!$B$16)*C_CALC!$B$45*$A13+C_CALC!$B$41*(B$12/A_INPUT!$B$14)+C_CALC!$B$42)*(1-C_CALC!$B$57)-(A_INPUT!$B$87+A_INPUT!$B$77*(1-1)))-C_CALC!$B$79-C_CALC!$B$81)-MAX(0,(((MIN(C_CALC!$B$27*(B$12/A_INPUT!$B$14),C_CALC!$B$16)*C_CALC!$B$45*$A13+C_CALC!$B$41*(B$12/A_INPUT!$B$14)+C_CALC!$B$42)*(1-C_CALC!$B$57)-(A_INPUT!$B$87+A_INPUT!$B$77*(1-1)))-C_CALC!$B$79-C_CALC!$B$81))*A_INPUT!$B$109)+C_CALC!$B$79)),999)</f>
        <v>62.4626986946661</v>
      </c>
      <c r="C13" s="50" t="n">
        <f aca="false">IFERROR(IF(((((MIN(C_CALC!$B$27*(C$12/A_INPUT!$B$14),C_CALC!$B$16)*C_CALC!$B$45*$A13+C_CALC!$B$41*(C$12/A_INPUT!$B$14)+C_CALC!$B$42)*(1-C_CALC!$B$57)-(A_INPUT!$B$87+A_INPUT!$B$77*(1-1)))-C_CALC!$B$79-C_CALC!$B$81)-MAX(0,(((MIN(C_CALC!$B$27*(C$12/A_INPUT!$B$14),C_CALC!$B$16)*C_CALC!$B$45*$A13+C_CALC!$B$41*(C$12/A_INPUT!$B$14)+C_CALC!$B$42)*(1-C_CALC!$B$57)-(A_INPUT!$B$87+A_INPUT!$B$77*(1-1)))-C_CALC!$B$79-C_CALC!$B$81))*A_INPUT!$B$109)+C_CALC!$B$79&lt;=0,999,C_CALC!$B$69/(((((MIN(C_CALC!$B$27*(C$12/A_INPUT!$B$14),C_CALC!$B$16)*C_CALC!$B$45*$A13+C_CALC!$B$41*(C$12/A_INPUT!$B$14)+C_CALC!$B$42)*(1-C_CALC!$B$57)-(A_INPUT!$B$87+A_INPUT!$B$77*(1-1)))-C_CALC!$B$79-C_CALC!$B$81)-MAX(0,(((MIN(C_CALC!$B$27*(C$12/A_INPUT!$B$14),C_CALC!$B$16)*C_CALC!$B$45*$A13+C_CALC!$B$41*(C$12/A_INPUT!$B$14)+C_CALC!$B$42)*(1-C_CALC!$B$57)-(A_INPUT!$B$87+A_INPUT!$B$77*(1-1)))-C_CALC!$B$79-C_CALC!$B$81))*A_INPUT!$B$109)+C_CALC!$B$79)),999)</f>
        <v>38.2347020907749</v>
      </c>
      <c r="D13" s="50" t="n">
        <f aca="false">IFERROR(IF(((((MIN(C_CALC!$B$27*(D$12/A_INPUT!$B$14),C_CALC!$B$16)*C_CALC!$B$45*$A13+C_CALC!$B$41*(D$12/A_INPUT!$B$14)+C_CALC!$B$42)*(1-C_CALC!$B$57)-(A_INPUT!$B$87+A_INPUT!$B$77*(1-1)))-C_CALC!$B$79-C_CALC!$B$81)-MAX(0,(((MIN(C_CALC!$B$27*(D$12/A_INPUT!$B$14),C_CALC!$B$16)*C_CALC!$B$45*$A13+C_CALC!$B$41*(D$12/A_INPUT!$B$14)+C_CALC!$B$42)*(1-C_CALC!$B$57)-(A_INPUT!$B$87+A_INPUT!$B$77*(1-1)))-C_CALC!$B$79-C_CALC!$B$81))*A_INPUT!$B$109)+C_CALC!$B$79&lt;=0,999,C_CALC!$B$69/(((((MIN(C_CALC!$B$27*(D$12/A_INPUT!$B$14),C_CALC!$B$16)*C_CALC!$B$45*$A13+C_CALC!$B$41*(D$12/A_INPUT!$B$14)+C_CALC!$B$42)*(1-C_CALC!$B$57)-(A_INPUT!$B$87+A_INPUT!$B$77*(1-1)))-C_CALC!$B$79-C_CALC!$B$81)-MAX(0,(((MIN(C_CALC!$B$27*(D$12/A_INPUT!$B$14),C_CALC!$B$16)*C_CALC!$B$45*$A13+C_CALC!$B$41*(D$12/A_INPUT!$B$14)+C_CALC!$B$42)*(1-C_CALC!$B$57)-(A_INPUT!$B$87+A_INPUT!$B$77*(1-1)))-C_CALC!$B$79-C_CALC!$B$81))*A_INPUT!$B$109)+C_CALC!$B$79)),999)</f>
        <v>27.5490082084523</v>
      </c>
      <c r="E13" s="50" t="n">
        <f aca="false">IFERROR(IF(((((MIN(C_CALC!$B$27*(E$12/A_INPUT!$B$14),C_CALC!$B$16)*C_CALC!$B$45*$A13+C_CALC!$B$41*(E$12/A_INPUT!$B$14)+C_CALC!$B$42)*(1-C_CALC!$B$57)-(A_INPUT!$B$87+A_INPUT!$B$77*(1-1)))-C_CALC!$B$79-C_CALC!$B$81)-MAX(0,(((MIN(C_CALC!$B$27*(E$12/A_INPUT!$B$14),C_CALC!$B$16)*C_CALC!$B$45*$A13+C_CALC!$B$41*(E$12/A_INPUT!$B$14)+C_CALC!$B$42)*(1-C_CALC!$B$57)-(A_INPUT!$B$87+A_INPUT!$B$77*(1-1)))-C_CALC!$B$79-C_CALC!$B$81))*A_INPUT!$B$109)+C_CALC!$B$79&lt;=0,999,C_CALC!$B$69/(((((MIN(C_CALC!$B$27*(E$12/A_INPUT!$B$14),C_CALC!$B$16)*C_CALC!$B$45*$A13+C_CALC!$B$41*(E$12/A_INPUT!$B$14)+C_CALC!$B$42)*(1-C_CALC!$B$57)-(A_INPUT!$B$87+A_INPUT!$B$77*(1-1)))-C_CALC!$B$79-C_CALC!$B$81)-MAX(0,(((MIN(C_CALC!$B$27*(E$12/A_INPUT!$B$14),C_CALC!$B$16)*C_CALC!$B$45*$A13+C_CALC!$B$41*(E$12/A_INPUT!$B$14)+C_CALC!$B$42)*(1-C_CALC!$B$57)-(A_INPUT!$B$87+A_INPUT!$B$77*(1-1)))-C_CALC!$B$79-C_CALC!$B$81))*A_INPUT!$B$109)+C_CALC!$B$79)),999)</f>
        <v>22.3529073859738</v>
      </c>
      <c r="F13" s="50" t="n">
        <f aca="false">IFERROR(IF(((((MIN(C_CALC!$B$27*(F$12/A_INPUT!$B$14),C_CALC!$B$16)*C_CALC!$B$45*$A13+C_CALC!$B$41*(F$12/A_INPUT!$B$14)+C_CALC!$B$42)*(1-C_CALC!$B$57)-(A_INPUT!$B$87+A_INPUT!$B$77*(1-1)))-C_CALC!$B$79-C_CALC!$B$81)-MAX(0,(((MIN(C_CALC!$B$27*(F$12/A_INPUT!$B$14),C_CALC!$B$16)*C_CALC!$B$45*$A13+C_CALC!$B$41*(F$12/A_INPUT!$B$14)+C_CALC!$B$42)*(1-C_CALC!$B$57)-(A_INPUT!$B$87+A_INPUT!$B$77*(1-1)))-C_CALC!$B$79-C_CALC!$B$81))*A_INPUT!$B$109)+C_CALC!$B$79&lt;=0,999,C_CALC!$B$69/(((((MIN(C_CALC!$B$27*(F$12/A_INPUT!$B$14),C_CALC!$B$16)*C_CALC!$B$45*$A13+C_CALC!$B$41*(F$12/A_INPUT!$B$14)+C_CALC!$B$42)*(1-C_CALC!$B$57)-(A_INPUT!$B$87+A_INPUT!$B$77*(1-1)))-C_CALC!$B$79-C_CALC!$B$81)-MAX(0,(((MIN(C_CALC!$B$27*(F$12/A_INPUT!$B$14),C_CALC!$B$16)*C_CALC!$B$45*$A13+C_CALC!$B$41*(F$12/A_INPUT!$B$14)+C_CALC!$B$42)*(1-C_CALC!$B$57)-(A_INPUT!$B$87+A_INPUT!$B$77*(1-1)))-C_CALC!$B$79-C_CALC!$B$81))*A_INPUT!$B$109)+C_CALC!$B$79)),999)</f>
        <v>22.233821172651</v>
      </c>
      <c r="G13" s="50" t="n">
        <f aca="false">IFERROR(IF(((((MIN(C_CALC!$B$27*(G$12/A_INPUT!$B$14),C_CALC!$B$16)*C_CALC!$B$45*$A13+C_CALC!$B$41*(G$12/A_INPUT!$B$14)+C_CALC!$B$42)*(1-C_CALC!$B$57)-(A_INPUT!$B$87+A_INPUT!$B$77*(1-1)))-C_CALC!$B$79-C_CALC!$B$81)-MAX(0,(((MIN(C_CALC!$B$27*(G$12/A_INPUT!$B$14),C_CALC!$B$16)*C_CALC!$B$45*$A13+C_CALC!$B$41*(G$12/A_INPUT!$B$14)+C_CALC!$B$42)*(1-C_CALC!$B$57)-(A_INPUT!$B$87+A_INPUT!$B$77*(1-1)))-C_CALC!$B$79-C_CALC!$B$81))*A_INPUT!$B$109)+C_CALC!$B$79&lt;=0,999,C_CALC!$B$69/(((((MIN(C_CALC!$B$27*(G$12/A_INPUT!$B$14),C_CALC!$B$16)*C_CALC!$B$45*$A13+C_CALC!$B$41*(G$12/A_INPUT!$B$14)+C_CALC!$B$42)*(1-C_CALC!$B$57)-(A_INPUT!$B$87+A_INPUT!$B$77*(1-1)))-C_CALC!$B$79-C_CALC!$B$81)-MAX(0,(((MIN(C_CALC!$B$27*(G$12/A_INPUT!$B$14),C_CALC!$B$16)*C_CALC!$B$45*$A13+C_CALC!$B$41*(G$12/A_INPUT!$B$14)+C_CALC!$B$42)*(1-C_CALC!$B$57)-(A_INPUT!$B$87+A_INPUT!$B$77*(1-1)))-C_CALC!$B$79-C_CALC!$B$81))*A_INPUT!$B$109)+C_CALC!$B$79)),999)</f>
        <v>22.1159971104713</v>
      </c>
      <c r="H13" s="50" t="n">
        <f aca="false">IFERROR(IF(((((MIN(C_CALC!$B$27*(H$12/A_INPUT!$B$14),C_CALC!$B$16)*C_CALC!$B$45*$A13+C_CALC!$B$41*(H$12/A_INPUT!$B$14)+C_CALC!$B$42)*(1-C_CALC!$B$57)-(A_INPUT!$B$87+A_INPUT!$B$77*(1-1)))-C_CALC!$B$79-C_CALC!$B$81)-MAX(0,(((MIN(C_CALC!$B$27*(H$12/A_INPUT!$B$14),C_CALC!$B$16)*C_CALC!$B$45*$A13+C_CALC!$B$41*(H$12/A_INPUT!$B$14)+C_CALC!$B$42)*(1-C_CALC!$B$57)-(A_INPUT!$B$87+A_INPUT!$B$77*(1-1)))-C_CALC!$B$79-C_CALC!$B$81))*A_INPUT!$B$109)+C_CALC!$B$79&lt;=0,999,C_CALC!$B$69/(((((MIN(C_CALC!$B$27*(H$12/A_INPUT!$B$14),C_CALC!$B$16)*C_CALC!$B$45*$A13+C_CALC!$B$41*(H$12/A_INPUT!$B$14)+C_CALC!$B$42)*(1-C_CALC!$B$57)-(A_INPUT!$B$87+A_INPUT!$B$77*(1-1)))-C_CALC!$B$79-C_CALC!$B$81)-MAX(0,(((MIN(C_CALC!$B$27*(H$12/A_INPUT!$B$14),C_CALC!$B$16)*C_CALC!$B$45*$A13+C_CALC!$B$41*(H$12/A_INPUT!$B$14)+C_CALC!$B$42)*(1-C_CALC!$B$57)-(A_INPUT!$B$87+A_INPUT!$B$77*(1-1)))-C_CALC!$B$79-C_CALC!$B$81))*A_INPUT!$B$109)+C_CALC!$B$79)),999)</f>
        <v>21.9994152395918</v>
      </c>
    </row>
    <row r="14" customFormat="false" ht="15" hidden="false" customHeight="false" outlineLevel="0" collapsed="false">
      <c r="A14" s="95" t="n">
        <v>0.9</v>
      </c>
      <c r="B14" s="50" t="n">
        <f aca="false">IFERROR(IF(((((MIN(C_CALC!$B$27*(B$12/A_INPUT!$B$14),C_CALC!$B$16)*C_CALC!$B$45*$A14+C_CALC!$B$41*(B$12/A_INPUT!$B$14)+C_CALC!$B$42)*(1-C_CALC!$B$57)-(A_INPUT!$B$87+A_INPUT!$B$77*(1-1)))-C_CALC!$B$79-C_CALC!$B$81)-MAX(0,(((MIN(C_CALC!$B$27*(B$12/A_INPUT!$B$14),C_CALC!$B$16)*C_CALC!$B$45*$A14+C_CALC!$B$41*(B$12/A_INPUT!$B$14)+C_CALC!$B$42)*(1-C_CALC!$B$57)-(A_INPUT!$B$87+A_INPUT!$B$77*(1-1)))-C_CALC!$B$79-C_CALC!$B$81))*A_INPUT!$B$109)+C_CALC!$B$79&lt;=0,999,C_CALC!$B$69/(((((MIN(C_CALC!$B$27*(B$12/A_INPUT!$B$14),C_CALC!$B$16)*C_CALC!$B$45*$A14+C_CALC!$B$41*(B$12/A_INPUT!$B$14)+C_CALC!$B$42)*(1-C_CALC!$B$57)-(A_INPUT!$B$87+A_INPUT!$B$77*(1-1)))-C_CALC!$B$79-C_CALC!$B$81)-MAX(0,(((MIN(C_CALC!$B$27*(B$12/A_INPUT!$B$14),C_CALC!$B$16)*C_CALC!$B$45*$A14+C_CALC!$B$41*(B$12/A_INPUT!$B$14)+C_CALC!$B$42)*(1-C_CALC!$B$57)-(A_INPUT!$B$87+A_INPUT!$B$77*(1-1)))-C_CALC!$B$79-C_CALC!$B$81))*A_INPUT!$B$109)+C_CALC!$B$79)),999)</f>
        <v>47.7051539318876</v>
      </c>
      <c r="C14" s="50" t="n">
        <f aca="false">IFERROR(IF(((((MIN(C_CALC!$B$27*(C$12/A_INPUT!$B$14),C_CALC!$B$16)*C_CALC!$B$45*$A14+C_CALC!$B$41*(C$12/A_INPUT!$B$14)+C_CALC!$B$42)*(1-C_CALC!$B$57)-(A_INPUT!$B$87+A_INPUT!$B$77*(1-1)))-C_CALC!$B$79-C_CALC!$B$81)-MAX(0,(((MIN(C_CALC!$B$27*(C$12/A_INPUT!$B$14),C_CALC!$B$16)*C_CALC!$B$45*$A14+C_CALC!$B$41*(C$12/A_INPUT!$B$14)+C_CALC!$B$42)*(1-C_CALC!$B$57)-(A_INPUT!$B$87+A_INPUT!$B$77*(1-1)))-C_CALC!$B$79-C_CALC!$B$81))*A_INPUT!$B$109)+C_CALC!$B$79&lt;=0,999,C_CALC!$B$69/(((((MIN(C_CALC!$B$27*(C$12/A_INPUT!$B$14),C_CALC!$B$16)*C_CALC!$B$45*$A14+C_CALC!$B$41*(C$12/A_INPUT!$B$14)+C_CALC!$B$42)*(1-C_CALC!$B$57)-(A_INPUT!$B$87+A_INPUT!$B$77*(1-1)))-C_CALC!$B$79-C_CALC!$B$81)-MAX(0,(((MIN(C_CALC!$B$27*(C$12/A_INPUT!$B$14),C_CALC!$B$16)*C_CALC!$B$45*$A14+C_CALC!$B$41*(C$12/A_INPUT!$B$14)+C_CALC!$B$42)*(1-C_CALC!$B$57)-(A_INPUT!$B$87+A_INPUT!$B$77*(1-1)))-C_CALC!$B$79-C_CALC!$B$81))*A_INPUT!$B$109)+C_CALC!$B$79)),999)</f>
        <v>30.916749187025</v>
      </c>
      <c r="D14" s="50" t="n">
        <f aca="false">IFERROR(IF(((((MIN(C_CALC!$B$27*(D$12/A_INPUT!$B$14),C_CALC!$B$16)*C_CALC!$B$45*$A14+C_CALC!$B$41*(D$12/A_INPUT!$B$14)+C_CALC!$B$42)*(1-C_CALC!$B$57)-(A_INPUT!$B$87+A_INPUT!$B$77*(1-1)))-C_CALC!$B$79-C_CALC!$B$81)-MAX(0,(((MIN(C_CALC!$B$27*(D$12/A_INPUT!$B$14),C_CALC!$B$16)*C_CALC!$B$45*$A14+C_CALC!$B$41*(D$12/A_INPUT!$B$14)+C_CALC!$B$42)*(1-C_CALC!$B$57)-(A_INPUT!$B$87+A_INPUT!$B$77*(1-1)))-C_CALC!$B$79-C_CALC!$B$81))*A_INPUT!$B$109)+C_CALC!$B$79&lt;=0,999,C_CALC!$B$69/(((((MIN(C_CALC!$B$27*(D$12/A_INPUT!$B$14),C_CALC!$B$16)*C_CALC!$B$45*$A14+C_CALC!$B$41*(D$12/A_INPUT!$B$14)+C_CALC!$B$42)*(1-C_CALC!$B$57)-(A_INPUT!$B$87+A_INPUT!$B$77*(1-1)))-C_CALC!$B$79-C_CALC!$B$81)-MAX(0,(((MIN(C_CALC!$B$27*(D$12/A_INPUT!$B$14),C_CALC!$B$16)*C_CALC!$B$45*$A14+C_CALC!$B$41*(D$12/A_INPUT!$B$14)+C_CALC!$B$42)*(1-C_CALC!$B$57)-(A_INPUT!$B$87+A_INPUT!$B$77*(1-1)))-C_CALC!$B$79-C_CALC!$B$81))*A_INPUT!$B$109)+C_CALC!$B$79)),999)</f>
        <v>22.8687687468591</v>
      </c>
      <c r="E14" s="50" t="n">
        <f aca="false">IFERROR(IF(((((MIN(C_CALC!$B$27*(E$12/A_INPUT!$B$14),C_CALC!$B$16)*C_CALC!$B$45*$A14+C_CALC!$B$41*(E$12/A_INPUT!$B$14)+C_CALC!$B$42)*(1-C_CALC!$B$57)-(A_INPUT!$B$87+A_INPUT!$B$77*(1-1)))-C_CALC!$B$79-C_CALC!$B$81)-MAX(0,(((MIN(C_CALC!$B$27*(E$12/A_INPUT!$B$14),C_CALC!$B$16)*C_CALC!$B$45*$A14+C_CALC!$B$41*(E$12/A_INPUT!$B$14)+C_CALC!$B$42)*(1-C_CALC!$B$57)-(A_INPUT!$B$87+A_INPUT!$B$77*(1-1)))-C_CALC!$B$79-C_CALC!$B$81))*A_INPUT!$B$109)+C_CALC!$B$79&lt;=0,999,C_CALC!$B$69/(((((MIN(C_CALC!$B$27*(E$12/A_INPUT!$B$14),C_CALC!$B$16)*C_CALC!$B$45*$A14+C_CALC!$B$41*(E$12/A_INPUT!$B$14)+C_CALC!$B$42)*(1-C_CALC!$B$57)-(A_INPUT!$B$87+A_INPUT!$B$77*(1-1)))-C_CALC!$B$79-C_CALC!$B$81)-MAX(0,(((MIN(C_CALC!$B$27*(E$12/A_INPUT!$B$14),C_CALC!$B$16)*C_CALC!$B$45*$A14+C_CALC!$B$41*(E$12/A_INPUT!$B$14)+C_CALC!$B$42)*(1-C_CALC!$B$57)-(A_INPUT!$B$87+A_INPUT!$B$77*(1-1)))-C_CALC!$B$79-C_CALC!$B$81))*A_INPUT!$B$109)+C_CALC!$B$79)),999)</f>
        <v>18.8003445888578</v>
      </c>
      <c r="F14" s="50" t="n">
        <f aca="false">IFERROR(IF(((((MIN(C_CALC!$B$27*(F$12/A_INPUT!$B$14),C_CALC!$B$16)*C_CALC!$B$45*$A14+C_CALC!$B$41*(F$12/A_INPUT!$B$14)+C_CALC!$B$42)*(1-C_CALC!$B$57)-(A_INPUT!$B$87+A_INPUT!$B$77*(1-1)))-C_CALC!$B$79-C_CALC!$B$81)-MAX(0,(((MIN(C_CALC!$B$27*(F$12/A_INPUT!$B$14),C_CALC!$B$16)*C_CALC!$B$45*$A14+C_CALC!$B$41*(F$12/A_INPUT!$B$14)+C_CALC!$B$42)*(1-C_CALC!$B$57)-(A_INPUT!$B$87+A_INPUT!$B$77*(1-1)))-C_CALC!$B$79-C_CALC!$B$81))*A_INPUT!$B$109)+C_CALC!$B$79&lt;=0,999,C_CALC!$B$69/(((((MIN(C_CALC!$B$27*(F$12/A_INPUT!$B$14),C_CALC!$B$16)*C_CALC!$B$45*$A14+C_CALC!$B$41*(F$12/A_INPUT!$B$14)+C_CALC!$B$42)*(1-C_CALC!$B$57)-(A_INPUT!$B$87+A_INPUT!$B$77*(1-1)))-C_CALC!$B$79-C_CALC!$B$81)-MAX(0,(((MIN(C_CALC!$B$27*(F$12/A_INPUT!$B$14),C_CALC!$B$16)*C_CALC!$B$45*$A14+C_CALC!$B$41*(F$12/A_INPUT!$B$14)+C_CALC!$B$42)*(1-C_CALC!$B$57)-(A_INPUT!$B$87+A_INPUT!$B$77*(1-1)))-C_CALC!$B$79-C_CALC!$B$81))*A_INPUT!$B$109)+C_CALC!$B$79)),999)</f>
        <v>18.7160318989877</v>
      </c>
      <c r="G14" s="50" t="n">
        <f aca="false">IFERROR(IF(((((MIN(C_CALC!$B$27*(G$12/A_INPUT!$B$14),C_CALC!$B$16)*C_CALC!$B$45*$A14+C_CALC!$B$41*(G$12/A_INPUT!$B$14)+C_CALC!$B$42)*(1-C_CALC!$B$57)-(A_INPUT!$B$87+A_INPUT!$B$77*(1-1)))-C_CALC!$B$79-C_CALC!$B$81)-MAX(0,(((MIN(C_CALC!$B$27*(G$12/A_INPUT!$B$14),C_CALC!$B$16)*C_CALC!$B$45*$A14+C_CALC!$B$41*(G$12/A_INPUT!$B$14)+C_CALC!$B$42)*(1-C_CALC!$B$57)-(A_INPUT!$B$87+A_INPUT!$B$77*(1-1)))-C_CALC!$B$79-C_CALC!$B$81))*A_INPUT!$B$109)+C_CALC!$B$79&lt;=0,999,C_CALC!$B$69/(((((MIN(C_CALC!$B$27*(G$12/A_INPUT!$B$14),C_CALC!$B$16)*C_CALC!$B$45*$A14+C_CALC!$B$41*(G$12/A_INPUT!$B$14)+C_CALC!$B$42)*(1-C_CALC!$B$57)-(A_INPUT!$B$87+A_INPUT!$B$77*(1-1)))-C_CALC!$B$79-C_CALC!$B$81)-MAX(0,(((MIN(C_CALC!$B$27*(G$12/A_INPUT!$B$14),C_CALC!$B$16)*C_CALC!$B$45*$A14+C_CALC!$B$41*(G$12/A_INPUT!$B$14)+C_CALC!$B$42)*(1-C_CALC!$B$57)-(A_INPUT!$B$87+A_INPUT!$B$77*(1-1)))-C_CALC!$B$79-C_CALC!$B$81))*A_INPUT!$B$109)+C_CALC!$B$79)),999)</f>
        <v>18.6324720562113</v>
      </c>
      <c r="H14" s="50" t="n">
        <f aca="false">IFERROR(IF(((((MIN(C_CALC!$B$27*(H$12/A_INPUT!$B$14),C_CALC!$B$16)*C_CALC!$B$45*$A14+C_CALC!$B$41*(H$12/A_INPUT!$B$14)+C_CALC!$B$42)*(1-C_CALC!$B$57)-(A_INPUT!$B$87+A_INPUT!$B$77*(1-1)))-C_CALC!$B$79-C_CALC!$B$81)-MAX(0,(((MIN(C_CALC!$B$27*(H$12/A_INPUT!$B$14),C_CALC!$B$16)*C_CALC!$B$45*$A14+C_CALC!$B$41*(H$12/A_INPUT!$B$14)+C_CALC!$B$42)*(1-C_CALC!$B$57)-(A_INPUT!$B$87+A_INPUT!$B$77*(1-1)))-C_CALC!$B$79-C_CALC!$B$81))*A_INPUT!$B$109)+C_CALC!$B$79&lt;=0,999,C_CALC!$B$69/(((((MIN(C_CALC!$B$27*(H$12/A_INPUT!$B$14),C_CALC!$B$16)*C_CALC!$B$45*$A14+C_CALC!$B$41*(H$12/A_INPUT!$B$14)+C_CALC!$B$42)*(1-C_CALC!$B$57)-(A_INPUT!$B$87+A_INPUT!$B$77*(1-1)))-C_CALC!$B$79-C_CALC!$B$81)-MAX(0,(((MIN(C_CALC!$B$27*(H$12/A_INPUT!$B$14),C_CALC!$B$16)*C_CALC!$B$45*$A14+C_CALC!$B$41*(H$12/A_INPUT!$B$14)+C_CALC!$B$42)*(1-C_CALC!$B$57)-(A_INPUT!$B$87+A_INPUT!$B$77*(1-1)))-C_CALC!$B$79-C_CALC!$B$81))*A_INPUT!$B$109)+C_CALC!$B$79)),999)</f>
        <v>18.5496550218341</v>
      </c>
    </row>
    <row r="15" customFormat="false" ht="15" hidden="false" customHeight="false" outlineLevel="0" collapsed="false">
      <c r="A15" s="95" t="n">
        <v>1</v>
      </c>
      <c r="B15" s="50" t="n">
        <f aca="false">IFERROR(IF(((((MIN(C_CALC!$B$27*(B$12/A_INPUT!$B$14),C_CALC!$B$16)*C_CALC!$B$45*$A15+C_CALC!$B$41*(B$12/A_INPUT!$B$14)+C_CALC!$B$42)*(1-C_CALC!$B$57)-(A_INPUT!$B$87+A_INPUT!$B$77*(1-1)))-C_CALC!$B$79-C_CALC!$B$81)-MAX(0,(((MIN(C_CALC!$B$27*(B$12/A_INPUT!$B$14),C_CALC!$B$16)*C_CALC!$B$45*$A15+C_CALC!$B$41*(B$12/A_INPUT!$B$14)+C_CALC!$B$42)*(1-C_CALC!$B$57)-(A_INPUT!$B$87+A_INPUT!$B$77*(1-1)))-C_CALC!$B$79-C_CALC!$B$81))*A_INPUT!$B$109)+C_CALC!$B$79&lt;=0,999,C_CALC!$B$69/(((((MIN(C_CALC!$B$27*(B$12/A_INPUT!$B$14),C_CALC!$B$16)*C_CALC!$B$45*$A15+C_CALC!$B$41*(B$12/A_INPUT!$B$14)+C_CALC!$B$42)*(1-C_CALC!$B$57)-(A_INPUT!$B$87+A_INPUT!$B$77*(1-1)))-C_CALC!$B$79-C_CALC!$B$81)-MAX(0,(((MIN(C_CALC!$B$27*(B$12/A_INPUT!$B$14),C_CALC!$B$16)*C_CALC!$B$45*$A15+C_CALC!$B$41*(B$12/A_INPUT!$B$14)+C_CALC!$B$42)*(1-C_CALC!$B$57)-(A_INPUT!$B$87+A_INPUT!$B$77*(1-1)))-C_CALC!$B$79-C_CALC!$B$81))*A_INPUT!$B$109)+C_CALC!$B$79)),999)</f>
        <v>38.588231826442</v>
      </c>
      <c r="C15" s="50" t="n">
        <f aca="false">IFERROR(IF(((((MIN(C_CALC!$B$27*(C$12/A_INPUT!$B$14),C_CALC!$B$16)*C_CALC!$B$45*$A15+C_CALC!$B$41*(C$12/A_INPUT!$B$14)+C_CALC!$B$42)*(1-C_CALC!$B$57)-(A_INPUT!$B$87+A_INPUT!$B$77*(1-1)))-C_CALC!$B$79-C_CALC!$B$81)-MAX(0,(((MIN(C_CALC!$B$27*(C$12/A_INPUT!$B$14),C_CALC!$B$16)*C_CALC!$B$45*$A15+C_CALC!$B$41*(C$12/A_INPUT!$B$14)+C_CALC!$B$42)*(1-C_CALC!$B$57)-(A_INPUT!$B$87+A_INPUT!$B$77*(1-1)))-C_CALC!$B$79-C_CALC!$B$81))*A_INPUT!$B$109)+C_CALC!$B$79&lt;=0,999,C_CALC!$B$69/(((((MIN(C_CALC!$B$27*(C$12/A_INPUT!$B$14),C_CALC!$B$16)*C_CALC!$B$45*$A15+C_CALC!$B$41*(C$12/A_INPUT!$B$14)+C_CALC!$B$42)*(1-C_CALC!$B$57)-(A_INPUT!$B$87+A_INPUT!$B$77*(1-1)))-C_CALC!$B$79-C_CALC!$B$81)-MAX(0,(((MIN(C_CALC!$B$27*(C$12/A_INPUT!$B$14),C_CALC!$B$16)*C_CALC!$B$45*$A15+C_CALC!$B$41*(C$12/A_INPUT!$B$14)+C_CALC!$B$42)*(1-C_CALC!$B$57)-(A_INPUT!$B$87+A_INPUT!$B$77*(1-1)))-C_CALC!$B$79-C_CALC!$B$81))*A_INPUT!$B$109)+C_CALC!$B$79)),999)</f>
        <v>25.9500284873229</v>
      </c>
      <c r="D15" s="50" t="n">
        <f aca="false">IFERROR(IF(((((MIN(C_CALC!$B$27*(D$12/A_INPUT!$B$14),C_CALC!$B$16)*C_CALC!$B$45*$A15+C_CALC!$B$41*(D$12/A_INPUT!$B$14)+C_CALC!$B$42)*(1-C_CALC!$B$57)-(A_INPUT!$B$87+A_INPUT!$B$77*(1-1)))-C_CALC!$B$79-C_CALC!$B$81)-MAX(0,(((MIN(C_CALC!$B$27*(D$12/A_INPUT!$B$14),C_CALC!$B$16)*C_CALC!$B$45*$A15+C_CALC!$B$41*(D$12/A_INPUT!$B$14)+C_CALC!$B$42)*(1-C_CALC!$B$57)-(A_INPUT!$B$87+A_INPUT!$B$77*(1-1)))-C_CALC!$B$79-C_CALC!$B$81))*A_INPUT!$B$109)+C_CALC!$B$79&lt;=0,999,C_CALC!$B$69/(((((MIN(C_CALC!$B$27*(D$12/A_INPUT!$B$14),C_CALC!$B$16)*C_CALC!$B$45*$A15+C_CALC!$B$41*(D$12/A_INPUT!$B$14)+C_CALC!$B$42)*(1-C_CALC!$B$57)-(A_INPUT!$B$87+A_INPUT!$B$77*(1-1)))-C_CALC!$B$79-C_CALC!$B$81)-MAX(0,(((MIN(C_CALC!$B$27*(D$12/A_INPUT!$B$14),C_CALC!$B$16)*C_CALC!$B$45*$A15+C_CALC!$B$41*(D$12/A_INPUT!$B$14)+C_CALC!$B$42)*(1-C_CALC!$B$57)-(A_INPUT!$B$87+A_INPUT!$B$77*(1-1)))-C_CALC!$B$79-C_CALC!$B$81))*A_INPUT!$B$109)+C_CALC!$B$79)),999)</f>
        <v>19.5478313479208</v>
      </c>
      <c r="E15" s="96" t="n">
        <f aca="false">IFERROR(IF(((((MIN(C_CALC!$B$27*(E$12/A_INPUT!$B$14),C_CALC!$B$16)*C_CALC!$B$45*$A15+C_CALC!$B$41*(E$12/A_INPUT!$B$14)+C_CALC!$B$42)*(1-C_CALC!$B$57)-(A_INPUT!$B$87+A_INPUT!$B$77*(1-1)))-C_CALC!$B$79-C_CALC!$B$81)-MAX(0,(((MIN(C_CALC!$B$27*(E$12/A_INPUT!$B$14),C_CALC!$B$16)*C_CALC!$B$45*$A15+C_CALC!$B$41*(E$12/A_INPUT!$B$14)+C_CALC!$B$42)*(1-C_CALC!$B$57)-(A_INPUT!$B$87+A_INPUT!$B$77*(1-1)))-C_CALC!$B$79-C_CALC!$B$81))*A_INPUT!$B$109)+C_CALC!$B$79&lt;=0,999,C_CALC!$B$69/(((((MIN(C_CALC!$B$27*(E$12/A_INPUT!$B$14),C_CALC!$B$16)*C_CALC!$B$45*$A15+C_CALC!$B$41*(E$12/A_INPUT!$B$14)+C_CALC!$B$42)*(1-C_CALC!$B$57)-(A_INPUT!$B$87+A_INPUT!$B$77*(1-1)))-C_CALC!$B$79-C_CALC!$B$81)-MAX(0,(((MIN(C_CALC!$B$27*(E$12/A_INPUT!$B$14),C_CALC!$B$16)*C_CALC!$B$45*$A15+C_CALC!$B$41*(E$12/A_INPUT!$B$14)+C_CALC!$B$42)*(1-C_CALC!$B$57)-(A_INPUT!$B$87+A_INPUT!$B$77*(1-1)))-C_CALC!$B$79-C_CALC!$B$81))*A_INPUT!$B$109)+C_CALC!$B$79)),999)</f>
        <v>16.2221476178207</v>
      </c>
      <c r="F15" s="50" t="n">
        <f aca="false">IFERROR(IF(((((MIN(C_CALC!$B$27*(F$12/A_INPUT!$B$14),C_CALC!$B$16)*C_CALC!$B$45*$A15+C_CALC!$B$41*(F$12/A_INPUT!$B$14)+C_CALC!$B$42)*(1-C_CALC!$B$57)-(A_INPUT!$B$87+A_INPUT!$B$77*(1-1)))-C_CALC!$B$79-C_CALC!$B$81)-MAX(0,(((MIN(C_CALC!$B$27*(F$12/A_INPUT!$B$14),C_CALC!$B$16)*C_CALC!$B$45*$A15+C_CALC!$B$41*(F$12/A_INPUT!$B$14)+C_CALC!$B$42)*(1-C_CALC!$B$57)-(A_INPUT!$B$87+A_INPUT!$B$77*(1-1)))-C_CALC!$B$79-C_CALC!$B$81))*A_INPUT!$B$109)+C_CALC!$B$79&lt;=0,999,C_CALC!$B$69/(((((MIN(C_CALC!$B$27*(F$12/A_INPUT!$B$14),C_CALC!$B$16)*C_CALC!$B$45*$A15+C_CALC!$B$41*(F$12/A_INPUT!$B$14)+C_CALC!$B$42)*(1-C_CALC!$B$57)-(A_INPUT!$B$87+A_INPUT!$B$77*(1-1)))-C_CALC!$B$79-C_CALC!$B$81)-MAX(0,(((MIN(C_CALC!$B$27*(F$12/A_INPUT!$B$14),C_CALC!$B$16)*C_CALC!$B$45*$A15+C_CALC!$B$41*(F$12/A_INPUT!$B$14)+C_CALC!$B$42)*(1-C_CALC!$B$57)-(A_INPUT!$B$87+A_INPUT!$B$77*(1-1)))-C_CALC!$B$79-C_CALC!$B$81))*A_INPUT!$B$109)+C_CALC!$B$79)),999)</f>
        <v>16.1593352451199</v>
      </c>
      <c r="G15" s="50" t="n">
        <f aca="false">IFERROR(IF(((((MIN(C_CALC!$B$27*(G$12/A_INPUT!$B$14),C_CALC!$B$16)*C_CALC!$B$45*$A15+C_CALC!$B$41*(G$12/A_INPUT!$B$14)+C_CALC!$B$42)*(1-C_CALC!$B$57)-(A_INPUT!$B$87+A_INPUT!$B$77*(1-1)))-C_CALC!$B$79-C_CALC!$B$81)-MAX(0,(((MIN(C_CALC!$B$27*(G$12/A_INPUT!$B$14),C_CALC!$B$16)*C_CALC!$B$45*$A15+C_CALC!$B$41*(G$12/A_INPUT!$B$14)+C_CALC!$B$42)*(1-C_CALC!$B$57)-(A_INPUT!$B$87+A_INPUT!$B$77*(1-1)))-C_CALC!$B$79-C_CALC!$B$81))*A_INPUT!$B$109)+C_CALC!$B$79&lt;=0,999,C_CALC!$B$69/(((((MIN(C_CALC!$B$27*(G$12/A_INPUT!$B$14),C_CALC!$B$16)*C_CALC!$B$45*$A15+C_CALC!$B$41*(G$12/A_INPUT!$B$14)+C_CALC!$B$42)*(1-C_CALC!$B$57)-(A_INPUT!$B$87+A_INPUT!$B$77*(1-1)))-C_CALC!$B$79-C_CALC!$B$81)-MAX(0,(((MIN(C_CALC!$B$27*(G$12/A_INPUT!$B$14),C_CALC!$B$16)*C_CALC!$B$45*$A15+C_CALC!$B$41*(G$12/A_INPUT!$B$14)+C_CALC!$B$42)*(1-C_CALC!$B$57)-(A_INPUT!$B$87+A_INPUT!$B$77*(1-1)))-C_CALC!$B$79-C_CALC!$B$81))*A_INPUT!$B$109)+C_CALC!$B$79)),999)</f>
        <v>16.0970074169519</v>
      </c>
      <c r="H15" s="50" t="n">
        <f aca="false">IFERROR(IF(((((MIN(C_CALC!$B$27*(H$12/A_INPUT!$B$14),C_CALC!$B$16)*C_CALC!$B$45*$A15+C_CALC!$B$41*(H$12/A_INPUT!$B$14)+C_CALC!$B$42)*(1-C_CALC!$B$57)-(A_INPUT!$B$87+A_INPUT!$B$77*(1-1)))-C_CALC!$B$79-C_CALC!$B$81)-MAX(0,(((MIN(C_CALC!$B$27*(H$12/A_INPUT!$B$14),C_CALC!$B$16)*C_CALC!$B$45*$A15+C_CALC!$B$41*(H$12/A_INPUT!$B$14)+C_CALC!$B$42)*(1-C_CALC!$B$57)-(A_INPUT!$B$87+A_INPUT!$B$77*(1-1)))-C_CALC!$B$79-C_CALC!$B$81))*A_INPUT!$B$109)+C_CALC!$B$79&lt;=0,999,C_CALC!$B$69/(((((MIN(C_CALC!$B$27*(H$12/A_INPUT!$B$14),C_CALC!$B$16)*C_CALC!$B$45*$A15+C_CALC!$B$41*(H$12/A_INPUT!$B$14)+C_CALC!$B$42)*(1-C_CALC!$B$57)-(A_INPUT!$B$87+A_INPUT!$B$77*(1-1)))-C_CALC!$B$79-C_CALC!$B$81)-MAX(0,(((MIN(C_CALC!$B$27*(H$12/A_INPUT!$B$14),C_CALC!$B$16)*C_CALC!$B$45*$A15+C_CALC!$B$41*(H$12/A_INPUT!$B$14)+C_CALC!$B$42)*(1-C_CALC!$B$57)-(A_INPUT!$B$87+A_INPUT!$B$77*(1-1)))-C_CALC!$B$79-C_CALC!$B$81))*A_INPUT!$B$109)+C_CALC!$B$79)),999)</f>
        <v>16.0351585480801</v>
      </c>
    </row>
    <row r="16" customFormat="false" ht="15" hidden="false" customHeight="false" outlineLevel="0" collapsed="false">
      <c r="A16" s="95" t="n">
        <v>1.1</v>
      </c>
      <c r="B16" s="50" t="n">
        <f aca="false">IFERROR(IF(((((MIN(C_CALC!$B$27*(B$12/A_INPUT!$B$14),C_CALC!$B$16)*C_CALC!$B$45*$A16+C_CALC!$B$41*(B$12/A_INPUT!$B$14)+C_CALC!$B$42)*(1-C_CALC!$B$57)-(A_INPUT!$B$87+A_INPUT!$B$77*(1-1)))-C_CALC!$B$79-C_CALC!$B$81)-MAX(0,(((MIN(C_CALC!$B$27*(B$12/A_INPUT!$B$14),C_CALC!$B$16)*C_CALC!$B$45*$A16+C_CALC!$B$41*(B$12/A_INPUT!$B$14)+C_CALC!$B$42)*(1-C_CALC!$B$57)-(A_INPUT!$B$87+A_INPUT!$B$77*(1-1)))-C_CALC!$B$79-C_CALC!$B$81))*A_INPUT!$B$109)+C_CALC!$B$79&lt;=0,999,C_CALC!$B$69/(((((MIN(C_CALC!$B$27*(B$12/A_INPUT!$B$14),C_CALC!$B$16)*C_CALC!$B$45*$A16+C_CALC!$B$41*(B$12/A_INPUT!$B$14)+C_CALC!$B$42)*(1-C_CALC!$B$57)-(A_INPUT!$B$87+A_INPUT!$B$77*(1-1)))-C_CALC!$B$79-C_CALC!$B$81)-MAX(0,(((MIN(C_CALC!$B$27*(B$12/A_INPUT!$B$14),C_CALC!$B$16)*C_CALC!$B$45*$A16+C_CALC!$B$41*(B$12/A_INPUT!$B$14)+C_CALC!$B$42)*(1-C_CALC!$B$57)-(A_INPUT!$B$87+A_INPUT!$B$77*(1-1)))-C_CALC!$B$79-C_CALC!$B$81))*A_INPUT!$B$109)+C_CALC!$B$79)),999)</f>
        <v>32.3968722654607</v>
      </c>
      <c r="C16" s="50" t="n">
        <f aca="false">IFERROR(IF(((((MIN(C_CALC!$B$27*(C$12/A_INPUT!$B$14),C_CALC!$B$16)*C_CALC!$B$45*$A16+C_CALC!$B$41*(C$12/A_INPUT!$B$14)+C_CALC!$B$42)*(1-C_CALC!$B$57)-(A_INPUT!$B$87+A_INPUT!$B$77*(1-1)))-C_CALC!$B$79-C_CALC!$B$81)-MAX(0,(((MIN(C_CALC!$B$27*(C$12/A_INPUT!$B$14),C_CALC!$B$16)*C_CALC!$B$45*$A16+C_CALC!$B$41*(C$12/A_INPUT!$B$14)+C_CALC!$B$42)*(1-C_CALC!$B$57)-(A_INPUT!$B$87+A_INPUT!$B$77*(1-1)))-C_CALC!$B$79-C_CALC!$B$81))*A_INPUT!$B$109)+C_CALC!$B$79&lt;=0,999,C_CALC!$B$69/(((((MIN(C_CALC!$B$27*(C$12/A_INPUT!$B$14),C_CALC!$B$16)*C_CALC!$B$45*$A16+C_CALC!$B$41*(C$12/A_INPUT!$B$14)+C_CALC!$B$42)*(1-C_CALC!$B$57)-(A_INPUT!$B$87+A_INPUT!$B$77*(1-1)))-C_CALC!$B$79-C_CALC!$B$81)-MAX(0,(((MIN(C_CALC!$B$27*(C$12/A_INPUT!$B$14),C_CALC!$B$16)*C_CALC!$B$45*$A16+C_CALC!$B$41*(C$12/A_INPUT!$B$14)+C_CALC!$B$42)*(1-C_CALC!$B$57)-(A_INPUT!$B$87+A_INPUT!$B$77*(1-1)))-C_CALC!$B$79-C_CALC!$B$81))*A_INPUT!$B$109)+C_CALC!$B$79)),999)</f>
        <v>22.3582202242786</v>
      </c>
      <c r="D16" s="50" t="n">
        <f aca="false">IFERROR(IF(((((MIN(C_CALC!$B$27*(D$12/A_INPUT!$B$14),C_CALC!$B$16)*C_CALC!$B$45*$A16+C_CALC!$B$41*(D$12/A_INPUT!$B$14)+C_CALC!$B$42)*(1-C_CALC!$B$57)-(A_INPUT!$B$87+A_INPUT!$B$77*(1-1)))-C_CALC!$B$79-C_CALC!$B$81)-MAX(0,(((MIN(C_CALC!$B$27*(D$12/A_INPUT!$B$14),C_CALC!$B$16)*C_CALC!$B$45*$A16+C_CALC!$B$41*(D$12/A_INPUT!$B$14)+C_CALC!$B$42)*(1-C_CALC!$B$57)-(A_INPUT!$B$87+A_INPUT!$B$77*(1-1)))-C_CALC!$B$79-C_CALC!$B$81))*A_INPUT!$B$109)+C_CALC!$B$79&lt;=0,999,C_CALC!$B$69/(((((MIN(C_CALC!$B$27*(D$12/A_INPUT!$B$14),C_CALC!$B$16)*C_CALC!$B$45*$A16+C_CALC!$B$41*(D$12/A_INPUT!$B$14)+C_CALC!$B$42)*(1-C_CALC!$B$57)-(A_INPUT!$B$87+A_INPUT!$B$77*(1-1)))-C_CALC!$B$79-C_CALC!$B$81)-MAX(0,(((MIN(C_CALC!$B$27*(D$12/A_INPUT!$B$14),C_CALC!$B$16)*C_CALC!$B$45*$A16+C_CALC!$B$41*(D$12/A_INPUT!$B$14)+C_CALC!$B$42)*(1-C_CALC!$B$57)-(A_INPUT!$B$87+A_INPUT!$B$77*(1-1)))-C_CALC!$B$79-C_CALC!$B$81))*A_INPUT!$B$109)+C_CALC!$B$79)),999)</f>
        <v>17.0691046363626</v>
      </c>
      <c r="E16" s="50" t="n">
        <f aca="false">IFERROR(IF(((((MIN(C_CALC!$B$27*(E$12/A_INPUT!$B$14),C_CALC!$B$16)*C_CALC!$B$45*$A16+C_CALC!$B$41*(E$12/A_INPUT!$B$14)+C_CALC!$B$42)*(1-C_CALC!$B$57)-(A_INPUT!$B$87+A_INPUT!$B$77*(1-1)))-C_CALC!$B$79-C_CALC!$B$81)-MAX(0,(((MIN(C_CALC!$B$27*(E$12/A_INPUT!$B$14),C_CALC!$B$16)*C_CALC!$B$45*$A16+C_CALC!$B$41*(E$12/A_INPUT!$B$14)+C_CALC!$B$42)*(1-C_CALC!$B$57)-(A_INPUT!$B$87+A_INPUT!$B$77*(1-1)))-C_CALC!$B$79-C_CALC!$B$81))*A_INPUT!$B$109)+C_CALC!$B$79&lt;=0,999,C_CALC!$B$69/(((((MIN(C_CALC!$B$27*(E$12/A_INPUT!$B$14),C_CALC!$B$16)*C_CALC!$B$45*$A16+C_CALC!$B$41*(E$12/A_INPUT!$B$14)+C_CALC!$B$42)*(1-C_CALC!$B$57)-(A_INPUT!$B$87+A_INPUT!$B$77*(1-1)))-C_CALC!$B$79-C_CALC!$B$81)-MAX(0,(((MIN(C_CALC!$B$27*(E$12/A_INPUT!$B$14),C_CALC!$B$16)*C_CALC!$B$45*$A16+C_CALC!$B$41*(E$12/A_INPUT!$B$14)+C_CALC!$B$42)*(1-C_CALC!$B$57)-(A_INPUT!$B$87+A_INPUT!$B$77*(1-1)))-C_CALC!$B$79-C_CALC!$B$81))*A_INPUT!$B$109)+C_CALC!$B$79)),999)</f>
        <v>14.2657984564521</v>
      </c>
      <c r="F16" s="50" t="n">
        <f aca="false">IFERROR(IF(((((MIN(C_CALC!$B$27*(F$12/A_INPUT!$B$14),C_CALC!$B$16)*C_CALC!$B$45*$A16+C_CALC!$B$41*(F$12/A_INPUT!$B$14)+C_CALC!$B$42)*(1-C_CALC!$B$57)-(A_INPUT!$B$87+A_INPUT!$B$77*(1-1)))-C_CALC!$B$79-C_CALC!$B$81)-MAX(0,(((MIN(C_CALC!$B$27*(F$12/A_INPUT!$B$14),C_CALC!$B$16)*C_CALC!$B$45*$A16+C_CALC!$B$41*(F$12/A_INPUT!$B$14)+C_CALC!$B$42)*(1-C_CALC!$B$57)-(A_INPUT!$B$87+A_INPUT!$B$77*(1-1)))-C_CALC!$B$79-C_CALC!$B$81))*A_INPUT!$B$109)+C_CALC!$B$79&lt;=0,999,C_CALC!$B$69/(((((MIN(C_CALC!$B$27*(F$12/A_INPUT!$B$14),C_CALC!$B$16)*C_CALC!$B$45*$A16+C_CALC!$B$41*(F$12/A_INPUT!$B$14)+C_CALC!$B$42)*(1-C_CALC!$B$57)-(A_INPUT!$B$87+A_INPUT!$B$77*(1-1)))-C_CALC!$B$79-C_CALC!$B$81)-MAX(0,(((MIN(C_CALC!$B$27*(F$12/A_INPUT!$B$14),C_CALC!$B$16)*C_CALC!$B$45*$A16+C_CALC!$B$41*(F$12/A_INPUT!$B$14)+C_CALC!$B$42)*(1-C_CALC!$B$57)-(A_INPUT!$B$87+A_INPUT!$B$77*(1-1)))-C_CALC!$B$79-C_CALC!$B$81))*A_INPUT!$B$109)+C_CALC!$B$79)),999)</f>
        <v>14.2171998840038</v>
      </c>
      <c r="G16" s="50" t="n">
        <f aca="false">IFERROR(IF(((((MIN(C_CALC!$B$27*(G$12/A_INPUT!$B$14),C_CALC!$B$16)*C_CALC!$B$45*$A16+C_CALC!$B$41*(G$12/A_INPUT!$B$14)+C_CALC!$B$42)*(1-C_CALC!$B$57)-(A_INPUT!$B$87+A_INPUT!$B$77*(1-1)))-C_CALC!$B$79-C_CALC!$B$81)-MAX(0,(((MIN(C_CALC!$B$27*(G$12/A_INPUT!$B$14),C_CALC!$B$16)*C_CALC!$B$45*$A16+C_CALC!$B$41*(G$12/A_INPUT!$B$14)+C_CALC!$B$42)*(1-C_CALC!$B$57)-(A_INPUT!$B$87+A_INPUT!$B$77*(1-1)))-C_CALC!$B$79-C_CALC!$B$81))*A_INPUT!$B$109)+C_CALC!$B$79&lt;=0,999,C_CALC!$B$69/(((((MIN(C_CALC!$B$27*(G$12/A_INPUT!$B$14),C_CALC!$B$16)*C_CALC!$B$45*$A16+C_CALC!$B$41*(G$12/A_INPUT!$B$14)+C_CALC!$B$42)*(1-C_CALC!$B$57)-(A_INPUT!$B$87+A_INPUT!$B$77*(1-1)))-C_CALC!$B$79-C_CALC!$B$81)-MAX(0,(((MIN(C_CALC!$B$27*(G$12/A_INPUT!$B$14),C_CALC!$B$16)*C_CALC!$B$45*$A16+C_CALC!$B$41*(G$12/A_INPUT!$B$14)+C_CALC!$B$42)*(1-C_CALC!$B$57)-(A_INPUT!$B$87+A_INPUT!$B$77*(1-1)))-C_CALC!$B$79-C_CALC!$B$81))*A_INPUT!$B$109)+C_CALC!$B$79)),999)</f>
        <v>14.1689313039735</v>
      </c>
      <c r="H16" s="50" t="n">
        <f aca="false">IFERROR(IF(((((MIN(C_CALC!$B$27*(H$12/A_INPUT!$B$14),C_CALC!$B$16)*C_CALC!$B$45*$A16+C_CALC!$B$41*(H$12/A_INPUT!$B$14)+C_CALC!$B$42)*(1-C_CALC!$B$57)-(A_INPUT!$B$87+A_INPUT!$B$77*(1-1)))-C_CALC!$B$79-C_CALC!$B$81)-MAX(0,(((MIN(C_CALC!$B$27*(H$12/A_INPUT!$B$14),C_CALC!$B$16)*C_CALC!$B$45*$A16+C_CALC!$B$41*(H$12/A_INPUT!$B$14)+C_CALC!$B$42)*(1-C_CALC!$B$57)-(A_INPUT!$B$87+A_INPUT!$B$77*(1-1)))-C_CALC!$B$79-C_CALC!$B$81))*A_INPUT!$B$109)+C_CALC!$B$79&lt;=0,999,C_CALC!$B$69/(((((MIN(C_CALC!$B$27*(H$12/A_INPUT!$B$14),C_CALC!$B$16)*C_CALC!$B$45*$A16+C_CALC!$B$41*(H$12/A_INPUT!$B$14)+C_CALC!$B$42)*(1-C_CALC!$B$57)-(A_INPUT!$B$87+A_INPUT!$B$77*(1-1)))-C_CALC!$B$79-C_CALC!$B$81)-MAX(0,(((MIN(C_CALC!$B$27*(H$12/A_INPUT!$B$14),C_CALC!$B$16)*C_CALC!$B$45*$A16+C_CALC!$B$41*(H$12/A_INPUT!$B$14)+C_CALC!$B$42)*(1-C_CALC!$B$57)-(A_INPUT!$B$87+A_INPUT!$B$77*(1-1)))-C_CALC!$B$79-C_CALC!$B$81))*A_INPUT!$B$109)+C_CALC!$B$79)),999)</f>
        <v>14.1209893666782</v>
      </c>
    </row>
    <row r="17" customFormat="false" ht="15" hidden="false" customHeight="false" outlineLevel="0" collapsed="false">
      <c r="A17" s="95" t="n">
        <v>1.2</v>
      </c>
      <c r="B17" s="50" t="n">
        <f aca="false">IFERROR(IF(((((MIN(C_CALC!$B$27*(B$12/A_INPUT!$B$14),C_CALC!$B$16)*C_CALC!$B$45*$A17+C_CALC!$B$41*(B$12/A_INPUT!$B$14)+C_CALC!$B$42)*(1-C_CALC!$B$57)-(A_INPUT!$B$87+A_INPUT!$B$77*(1-1)))-C_CALC!$B$79-C_CALC!$B$81)-MAX(0,(((MIN(C_CALC!$B$27*(B$12/A_INPUT!$B$14),C_CALC!$B$16)*C_CALC!$B$45*$A17+C_CALC!$B$41*(B$12/A_INPUT!$B$14)+C_CALC!$B$42)*(1-C_CALC!$B$57)-(A_INPUT!$B$87+A_INPUT!$B$77*(1-1)))-C_CALC!$B$79-C_CALC!$B$81))*A_INPUT!$B$109)+C_CALC!$B$79&lt;=0,999,C_CALC!$B$69/(((((MIN(C_CALC!$B$27*(B$12/A_INPUT!$B$14),C_CALC!$B$16)*C_CALC!$B$45*$A17+C_CALC!$B$41*(B$12/A_INPUT!$B$14)+C_CALC!$B$42)*(1-C_CALC!$B$57)-(A_INPUT!$B$87+A_INPUT!$B$77*(1-1)))-C_CALC!$B$79-C_CALC!$B$81)-MAX(0,(((MIN(C_CALC!$B$27*(B$12/A_INPUT!$B$14),C_CALC!$B$16)*C_CALC!$B$45*$A17+C_CALC!$B$41*(B$12/A_INPUT!$B$14)+C_CALC!$B$42)*(1-C_CALC!$B$57)-(A_INPUT!$B$87+A_INPUT!$B$77*(1-1)))-C_CALC!$B$79-C_CALC!$B$81))*A_INPUT!$B$109)+C_CALC!$B$79)),999)</f>
        <v>27.9175842989568</v>
      </c>
      <c r="C17" s="50" t="n">
        <f aca="false">IFERROR(IF(((((MIN(C_CALC!$B$27*(C$12/A_INPUT!$B$14),C_CALC!$B$16)*C_CALC!$B$45*$A17+C_CALC!$B$41*(C$12/A_INPUT!$B$14)+C_CALC!$B$42)*(1-C_CALC!$B$57)-(A_INPUT!$B$87+A_INPUT!$B$77*(1-1)))-C_CALC!$B$79-C_CALC!$B$81)-MAX(0,(((MIN(C_CALC!$B$27*(C$12/A_INPUT!$B$14),C_CALC!$B$16)*C_CALC!$B$45*$A17+C_CALC!$B$41*(C$12/A_INPUT!$B$14)+C_CALC!$B$42)*(1-C_CALC!$B$57)-(A_INPUT!$B$87+A_INPUT!$B$77*(1-1)))-C_CALC!$B$79-C_CALC!$B$81))*A_INPUT!$B$109)+C_CALC!$B$79&lt;=0,999,C_CALC!$B$69/(((((MIN(C_CALC!$B$27*(C$12/A_INPUT!$B$14),C_CALC!$B$16)*C_CALC!$B$45*$A17+C_CALC!$B$41*(C$12/A_INPUT!$B$14)+C_CALC!$B$42)*(1-C_CALC!$B$57)-(A_INPUT!$B$87+A_INPUT!$B$77*(1-1)))-C_CALC!$B$79-C_CALC!$B$81)-MAX(0,(((MIN(C_CALC!$B$27*(C$12/A_INPUT!$B$14),C_CALC!$B$16)*C_CALC!$B$45*$A17+C_CALC!$B$41*(C$12/A_INPUT!$B$14)+C_CALC!$B$42)*(1-C_CALC!$B$57)-(A_INPUT!$B$87+A_INPUT!$B$77*(1-1)))-C_CALC!$B$79-C_CALC!$B$81))*A_INPUT!$B$109)+C_CALC!$B$79)),999)</f>
        <v>19.6398232326789</v>
      </c>
      <c r="D17" s="50" t="n">
        <f aca="false">IFERROR(IF(((((MIN(C_CALC!$B$27*(D$12/A_INPUT!$B$14),C_CALC!$B$16)*C_CALC!$B$45*$A17+C_CALC!$B$41*(D$12/A_INPUT!$B$14)+C_CALC!$B$42)*(1-C_CALC!$B$57)-(A_INPUT!$B$87+A_INPUT!$B$77*(1-1)))-C_CALC!$B$79-C_CALC!$B$81)-MAX(0,(((MIN(C_CALC!$B$27*(D$12/A_INPUT!$B$14),C_CALC!$B$16)*C_CALC!$B$45*$A17+C_CALC!$B$41*(D$12/A_INPUT!$B$14)+C_CALC!$B$42)*(1-C_CALC!$B$57)-(A_INPUT!$B$87+A_INPUT!$B$77*(1-1)))-C_CALC!$B$79-C_CALC!$B$81))*A_INPUT!$B$109)+C_CALC!$B$79&lt;=0,999,C_CALC!$B$69/(((((MIN(C_CALC!$B$27*(D$12/A_INPUT!$B$14),C_CALC!$B$16)*C_CALC!$B$45*$A17+C_CALC!$B$41*(D$12/A_INPUT!$B$14)+C_CALC!$B$42)*(1-C_CALC!$B$57)-(A_INPUT!$B$87+A_INPUT!$B$77*(1-1)))-C_CALC!$B$79-C_CALC!$B$81)-MAX(0,(((MIN(C_CALC!$B$27*(D$12/A_INPUT!$B$14),C_CALC!$B$16)*C_CALC!$B$45*$A17+C_CALC!$B$41*(D$12/A_INPUT!$B$14)+C_CALC!$B$42)*(1-C_CALC!$B$57)-(A_INPUT!$B$87+A_INPUT!$B$77*(1-1)))-C_CALC!$B$79-C_CALC!$B$81))*A_INPUT!$B$109)+C_CALC!$B$79)),999)</f>
        <v>15.1482577437031</v>
      </c>
      <c r="E17" s="50" t="n">
        <f aca="false">IFERROR(IF(((((MIN(C_CALC!$B$27*(E$12/A_INPUT!$B$14),C_CALC!$B$16)*C_CALC!$B$45*$A17+C_CALC!$B$41*(E$12/A_INPUT!$B$14)+C_CALC!$B$42)*(1-C_CALC!$B$57)-(A_INPUT!$B$87+A_INPUT!$B$77*(1-1)))-C_CALC!$B$79-C_CALC!$B$81)-MAX(0,(((MIN(C_CALC!$B$27*(E$12/A_INPUT!$B$14),C_CALC!$B$16)*C_CALC!$B$45*$A17+C_CALC!$B$41*(E$12/A_INPUT!$B$14)+C_CALC!$B$42)*(1-C_CALC!$B$57)-(A_INPUT!$B$87+A_INPUT!$B$77*(1-1)))-C_CALC!$B$79-C_CALC!$B$81))*A_INPUT!$B$109)+C_CALC!$B$79&lt;=0,999,C_CALC!$B$69/(((((MIN(C_CALC!$B$27*(E$12/A_INPUT!$B$14),C_CALC!$B$16)*C_CALC!$B$45*$A17+C_CALC!$B$41*(E$12/A_INPUT!$B$14)+C_CALC!$B$42)*(1-C_CALC!$B$57)-(A_INPUT!$B$87+A_INPUT!$B$77*(1-1)))-C_CALC!$B$79-C_CALC!$B$81)-MAX(0,(((MIN(C_CALC!$B$27*(E$12/A_INPUT!$B$14),C_CALC!$B$16)*C_CALC!$B$45*$A17+C_CALC!$B$41*(E$12/A_INPUT!$B$14)+C_CALC!$B$42)*(1-C_CALC!$B$57)-(A_INPUT!$B$87+A_INPUT!$B$77*(1-1)))-C_CALC!$B$79-C_CALC!$B$81))*A_INPUT!$B$109)+C_CALC!$B$79)),999)</f>
        <v>12.7305294413329</v>
      </c>
      <c r="F17" s="50" t="n">
        <f aca="false">IFERROR(IF(((((MIN(C_CALC!$B$27*(F$12/A_INPUT!$B$14),C_CALC!$B$16)*C_CALC!$B$45*$A17+C_CALC!$B$41*(F$12/A_INPUT!$B$14)+C_CALC!$B$42)*(1-C_CALC!$B$57)-(A_INPUT!$B$87+A_INPUT!$B$77*(1-1)))-C_CALC!$B$79-C_CALC!$B$81)-MAX(0,(((MIN(C_CALC!$B$27*(F$12/A_INPUT!$B$14),C_CALC!$B$16)*C_CALC!$B$45*$A17+C_CALC!$B$41*(F$12/A_INPUT!$B$14)+C_CALC!$B$42)*(1-C_CALC!$B$57)-(A_INPUT!$B$87+A_INPUT!$B$77*(1-1)))-C_CALC!$B$79-C_CALC!$B$81))*A_INPUT!$B$109)+C_CALC!$B$79&lt;=0,999,C_CALC!$B$69/(((((MIN(C_CALC!$B$27*(F$12/A_INPUT!$B$14),C_CALC!$B$16)*C_CALC!$B$45*$A17+C_CALC!$B$41*(F$12/A_INPUT!$B$14)+C_CALC!$B$42)*(1-C_CALC!$B$57)-(A_INPUT!$B$87+A_INPUT!$B$77*(1-1)))-C_CALC!$B$79-C_CALC!$B$81)-MAX(0,(((MIN(C_CALC!$B$27*(F$12/A_INPUT!$B$14),C_CALC!$B$16)*C_CALC!$B$45*$A17+C_CALC!$B$41*(F$12/A_INPUT!$B$14)+C_CALC!$B$42)*(1-C_CALC!$B$57)-(A_INPUT!$B$87+A_INPUT!$B$77*(1-1)))-C_CALC!$B$79-C_CALC!$B$81))*A_INPUT!$B$109)+C_CALC!$B$79)),999)</f>
        <v>12.6918140614139</v>
      </c>
      <c r="G17" s="50" t="n">
        <f aca="false">IFERROR(IF(((((MIN(C_CALC!$B$27*(G$12/A_INPUT!$B$14),C_CALC!$B$16)*C_CALC!$B$45*$A17+C_CALC!$B$41*(G$12/A_INPUT!$B$14)+C_CALC!$B$42)*(1-C_CALC!$B$57)-(A_INPUT!$B$87+A_INPUT!$B$77*(1-1)))-C_CALC!$B$79-C_CALC!$B$81)-MAX(0,(((MIN(C_CALC!$B$27*(G$12/A_INPUT!$B$14),C_CALC!$B$16)*C_CALC!$B$45*$A17+C_CALC!$B$41*(G$12/A_INPUT!$B$14)+C_CALC!$B$42)*(1-C_CALC!$B$57)-(A_INPUT!$B$87+A_INPUT!$B$77*(1-1)))-C_CALC!$B$79-C_CALC!$B$81))*A_INPUT!$B$109)+C_CALC!$B$79&lt;=0,999,C_CALC!$B$69/(((((MIN(C_CALC!$B$27*(G$12/A_INPUT!$B$14),C_CALC!$B$16)*C_CALC!$B$45*$A17+C_CALC!$B$41*(G$12/A_INPUT!$B$14)+C_CALC!$B$42)*(1-C_CALC!$B$57)-(A_INPUT!$B$87+A_INPUT!$B$77*(1-1)))-C_CALC!$B$79-C_CALC!$B$81)-MAX(0,(((MIN(C_CALC!$B$27*(G$12/A_INPUT!$B$14),C_CALC!$B$16)*C_CALC!$B$45*$A17+C_CALC!$B$41*(G$12/A_INPUT!$B$14)+C_CALC!$B$42)*(1-C_CALC!$B$57)-(A_INPUT!$B$87+A_INPUT!$B$77*(1-1)))-C_CALC!$B$79-C_CALC!$B$81))*A_INPUT!$B$109)+C_CALC!$B$79)),999)</f>
        <v>12.6533334456744</v>
      </c>
      <c r="H17" s="50" t="n">
        <f aca="false">IFERROR(IF(((((MIN(C_CALC!$B$27*(H$12/A_INPUT!$B$14),C_CALC!$B$16)*C_CALC!$B$45*$A17+C_CALC!$B$41*(H$12/A_INPUT!$B$14)+C_CALC!$B$42)*(1-C_CALC!$B$57)-(A_INPUT!$B$87+A_INPUT!$B$77*(1-1)))-C_CALC!$B$79-C_CALC!$B$81)-MAX(0,(((MIN(C_CALC!$B$27*(H$12/A_INPUT!$B$14),C_CALC!$B$16)*C_CALC!$B$45*$A17+C_CALC!$B$41*(H$12/A_INPUT!$B$14)+C_CALC!$B$42)*(1-C_CALC!$B$57)-(A_INPUT!$B$87+A_INPUT!$B$77*(1-1)))-C_CALC!$B$79-C_CALC!$B$81))*A_INPUT!$B$109)+C_CALC!$B$79&lt;=0,999,C_CALC!$B$69/(((((MIN(C_CALC!$B$27*(H$12/A_INPUT!$B$14),C_CALC!$B$16)*C_CALC!$B$45*$A17+C_CALC!$B$41*(H$12/A_INPUT!$B$14)+C_CALC!$B$42)*(1-C_CALC!$B$57)-(A_INPUT!$B$87+A_INPUT!$B$77*(1-1)))-C_CALC!$B$79-C_CALC!$B$81)-MAX(0,(((MIN(C_CALC!$B$27*(H$12/A_INPUT!$B$14),C_CALC!$B$16)*C_CALC!$B$45*$A17+C_CALC!$B$41*(H$12/A_INPUT!$B$14)+C_CALC!$B$42)*(1-C_CALC!$B$57)-(A_INPUT!$B$87+A_INPUT!$B$77*(1-1)))-C_CALC!$B$79-C_CALC!$B$81))*A_INPUT!$B$109)+C_CALC!$B$79)),999)</f>
        <v>12.6150854652078</v>
      </c>
    </row>
    <row r="18" customFormat="false" ht="15" hidden="false" customHeight="false" outlineLevel="0" collapsed="false">
      <c r="A18" s="35" t="s">
        <v>640</v>
      </c>
    </row>
    <row r="20" customFormat="false" ht="15" hidden="false" customHeight="false" outlineLevel="0" collapsed="false">
      <c r="A20" s="59" t="s">
        <v>641</v>
      </c>
      <c r="B20" s="60"/>
      <c r="C20" s="60"/>
      <c r="D20" s="60"/>
      <c r="E20" s="60"/>
      <c r="F20" s="60"/>
      <c r="G20" s="60"/>
      <c r="H20" s="60"/>
      <c r="I20" s="60"/>
    </row>
    <row r="21" customFormat="false" ht="15" hidden="false" customHeight="false" outlineLevel="0" collapsed="false">
      <c r="A21" s="32" t="s">
        <v>639</v>
      </c>
      <c r="B21" s="95" t="n">
        <v>0.2</v>
      </c>
      <c r="C21" s="95" t="n">
        <v>0.25</v>
      </c>
      <c r="D21" s="95" t="n">
        <v>0.3</v>
      </c>
      <c r="E21" s="95" t="n">
        <v>0.35</v>
      </c>
      <c r="F21" s="95" t="n">
        <v>0.4</v>
      </c>
      <c r="G21" s="95" t="n">
        <v>0.45</v>
      </c>
      <c r="H21" s="95" t="n">
        <v>0.5</v>
      </c>
    </row>
    <row r="22" customFormat="false" ht="15" hidden="false" customHeight="false" outlineLevel="0" collapsed="false">
      <c r="A22" s="95" t="n">
        <v>0.8</v>
      </c>
      <c r="B22" s="21" t="n">
        <f aca="false">((((MIN(C_CALC!$B$27*(B$21/A_INPUT!$B$14),C_CALC!$B$16)*C_CALC!$B$45*$A22+C_CALC!$B$41*(B$21/A_INPUT!$B$14)+C_CALC!$B$42)*(1-C_CALC!$B$57)-(A_INPUT!$B$87+A_INPUT!$B$77*(1-1)))-C_CALC!$B$79-C_CALC!$B$81)-MAX(0,(((MIN(C_CALC!$B$27*(B$21/A_INPUT!$B$14),C_CALC!$B$16)*C_CALC!$B$45*$A22+C_CALC!$B$41*(B$21/A_INPUT!$B$14)+C_CALC!$B$42)*(1-C_CALC!$B$57)-(A_INPUT!$B$87+A_INPUT!$B$77*(1-1)))-C_CALC!$B$79-C_CALC!$B$81))*A_INPUT!$B$109)</f>
        <v>6788.13868757393</v>
      </c>
      <c r="C22" s="21" t="n">
        <f aca="false">((((MIN(C_CALC!$B$27*(C$21/A_INPUT!$B$14),C_CALC!$B$16)*C_CALC!$B$45*$A22+C_CALC!$B$41*(C$21/A_INPUT!$B$14)+C_CALC!$B$42)*(1-C_CALC!$B$57)-(A_INPUT!$B$87+A_INPUT!$B$77*(1-1)))-C_CALC!$B$79-C_CALC!$B$81)-MAX(0,(((MIN(C_CALC!$B$27*(C$21/A_INPUT!$B$14),C_CALC!$B$16)*C_CALC!$B$45*$A22+C_CALC!$B$41*(C$21/A_INPUT!$B$14)+C_CALC!$B$42)*(1-C_CALC!$B$57)-(A_INPUT!$B$87+A_INPUT!$B$77*(1-1)))-C_CALC!$B$79-C_CALC!$B$81))*A_INPUT!$B$109)</f>
        <v>20605.2150261341</v>
      </c>
      <c r="D22" s="21" t="n">
        <f aca="false">((((MIN(C_CALC!$B$27*(D$21/A_INPUT!$B$14),C_CALC!$B$16)*C_CALC!$B$45*$A22+C_CALC!$B$41*(D$21/A_INPUT!$B$14)+C_CALC!$B$42)*(1-C_CALC!$B$57)-(A_INPUT!$B$87+A_INPUT!$B$77*(1-1)))-C_CALC!$B$79-C_CALC!$B$81)-MAX(0,(((MIN(C_CALC!$B$27*(D$21/A_INPUT!$B$14),C_CALC!$B$16)*C_CALC!$B$45*$A22+C_CALC!$B$41*(D$21/A_INPUT!$B$14)+C_CALC!$B$42)*(1-C_CALC!$B$57)-(A_INPUT!$B$87+A_INPUT!$B$77*(1-1)))-C_CALC!$B$79-C_CALC!$B$81))*A_INPUT!$B$109)</f>
        <v>34422.2913646942</v>
      </c>
      <c r="E22" s="21" t="n">
        <f aca="false">((((MIN(C_CALC!$B$27*(E$21/A_INPUT!$B$14),C_CALC!$B$16)*C_CALC!$B$45*$A22+C_CALC!$B$41*(E$21/A_INPUT!$B$14)+C_CALC!$B$42)*(1-C_CALC!$B$57)-(A_INPUT!$B$87+A_INPUT!$B$77*(1-1)))-C_CALC!$B$79-C_CALC!$B$81)-MAX(0,(((MIN(C_CALC!$B$27*(E$21/A_INPUT!$B$14),C_CALC!$B$16)*C_CALC!$B$45*$A22+C_CALC!$B$41*(E$21/A_INPUT!$B$14)+C_CALC!$B$42)*(1-C_CALC!$B$57)-(A_INPUT!$B$87+A_INPUT!$B$77*(1-1)))-C_CALC!$B$79-C_CALC!$B$81))*A_INPUT!$B$109)</f>
        <v>45914.7960565643</v>
      </c>
      <c r="F22" s="21" t="n">
        <f aca="false">((((MIN(C_CALC!$B$27*(F$21/A_INPUT!$B$14),C_CALC!$B$16)*C_CALC!$B$45*$A22+C_CALC!$B$41*(F$21/A_INPUT!$B$14)+C_CALC!$B$42)*(1-C_CALC!$B$57)-(A_INPUT!$B$87+A_INPUT!$B$77*(1-1)))-C_CALC!$B$79-C_CALC!$B$81)-MAX(0,(((MIN(C_CALC!$B$27*(F$21/A_INPUT!$B$14),C_CALC!$B$16)*C_CALC!$B$45*$A22+C_CALC!$B$41*(F$21/A_INPUT!$B$14)+C_CALC!$B$42)*(1-C_CALC!$B$57)-(A_INPUT!$B$87+A_INPUT!$B$77*(1-1)))-C_CALC!$B$79-C_CALC!$B$81))*A_INPUT!$B$109)</f>
        <v>46241.1512035814</v>
      </c>
      <c r="G22" s="21" t="n">
        <f aca="false">((((MIN(C_CALC!$B$27*(G$21/A_INPUT!$B$14),C_CALC!$B$16)*C_CALC!$B$45*$A22+C_CALC!$B$41*(G$21/A_INPUT!$B$14)+C_CALC!$B$42)*(1-C_CALC!$B$57)-(A_INPUT!$B$87+A_INPUT!$B$77*(1-1)))-C_CALC!$B$79-C_CALC!$B$81)-MAX(0,(((MIN(C_CALC!$B$27*(G$21/A_INPUT!$B$14),C_CALC!$B$16)*C_CALC!$B$45*$A22+C_CALC!$B$41*(G$21/A_INPUT!$B$14)+C_CALC!$B$42)*(1-C_CALC!$B$57)-(A_INPUT!$B$87+A_INPUT!$B$77*(1-1)))-C_CALC!$B$79-C_CALC!$B$81))*A_INPUT!$B$109)</f>
        <v>46567.5063505985</v>
      </c>
      <c r="H22" s="21" t="n">
        <f aca="false">((((MIN(C_CALC!$B$27*(H$21/A_INPUT!$B$14),C_CALC!$B$16)*C_CALC!$B$45*$A22+C_CALC!$B$41*(H$21/A_INPUT!$B$14)+C_CALC!$B$42)*(1-C_CALC!$B$57)-(A_INPUT!$B$87+A_INPUT!$B$77*(1-1)))-C_CALC!$B$79-C_CALC!$B$81)-MAX(0,(((MIN(C_CALC!$B$27*(H$21/A_INPUT!$B$14),C_CALC!$B$16)*C_CALC!$B$45*$A22+C_CALC!$B$41*(H$21/A_INPUT!$B$14)+C_CALC!$B$42)*(1-C_CALC!$B$57)-(A_INPUT!$B$87+A_INPUT!$B$77*(1-1)))-C_CALC!$B$79-C_CALC!$B$81))*A_INPUT!$B$109)</f>
        <v>46893.8614976156</v>
      </c>
    </row>
    <row r="23" customFormat="false" ht="15" hidden="false" customHeight="false" outlineLevel="0" collapsed="false">
      <c r="A23" s="95" t="n">
        <v>0.9</v>
      </c>
      <c r="B23" s="21" t="n">
        <f aca="false">((((MIN(C_CALC!$B$27*(B$21/A_INPUT!$B$14),C_CALC!$B$16)*C_CALC!$B$45*$A23+C_CALC!$B$41*(B$21/A_INPUT!$B$14)+C_CALC!$B$42)*(1-C_CALC!$B$57)-(A_INPUT!$B$87+A_INPUT!$B$77*(1-1)))-C_CALC!$B$79-C_CALC!$B$81)-MAX(0,(((MIN(C_CALC!$B$27*(B$21/A_INPUT!$B$14),C_CALC!$B$16)*C_CALC!$B$45*$A23+C_CALC!$B$41*(B$21/A_INPUT!$B$14)+C_CALC!$B$42)*(1-C_CALC!$B$57)-(A_INPUT!$B$87+A_INPUT!$B$77*(1-1)))-C_CALC!$B$79-C_CALC!$B$81))*A_INPUT!$B$109)</f>
        <v>13533.4992833454</v>
      </c>
      <c r="C23" s="21" t="n">
        <f aca="false">((((MIN(C_CALC!$B$27*(C$21/A_INPUT!$B$14),C_CALC!$B$16)*C_CALC!$B$45*$A23+C_CALC!$B$41*(C$21/A_INPUT!$B$14)+C_CALC!$B$42)*(1-C_CALC!$B$57)-(A_INPUT!$B$87+A_INPUT!$B$77*(1-1)))-C_CALC!$B$79-C_CALC!$B$81)-MAX(0,(((MIN(C_CALC!$B$27*(C$21/A_INPUT!$B$14),C_CALC!$B$16)*C_CALC!$B$45*$A23+C_CALC!$B$41*(C$21/A_INPUT!$B$14)+C_CALC!$B$42)*(1-C_CALC!$B$57)-(A_INPUT!$B$87+A_INPUT!$B$77*(1-1)))-C_CALC!$B$79-C_CALC!$B$81))*A_INPUT!$B$109)</f>
        <v>29036.9157708484</v>
      </c>
      <c r="D23" s="21" t="n">
        <f aca="false">((((MIN(C_CALC!$B$27*(D$21/A_INPUT!$B$14),C_CALC!$B$16)*C_CALC!$B$45*$A23+C_CALC!$B$41*(D$21/A_INPUT!$B$14)+C_CALC!$B$42)*(1-C_CALC!$B$57)-(A_INPUT!$B$87+A_INPUT!$B$77*(1-1)))-C_CALC!$B$79-C_CALC!$B$81)-MAX(0,(((MIN(C_CALC!$B$27*(D$21/A_INPUT!$B$14),C_CALC!$B$16)*C_CALC!$B$45*$A23+C_CALC!$B$41*(D$21/A_INPUT!$B$14)+C_CALC!$B$42)*(1-C_CALC!$B$57)-(A_INPUT!$B$87+A_INPUT!$B$77*(1-1)))-C_CALC!$B$79-C_CALC!$B$81))*A_INPUT!$B$109)</f>
        <v>44540.3322583515</v>
      </c>
      <c r="E23" s="21" t="n">
        <f aca="false">((((MIN(C_CALC!$B$27*(E$21/A_INPUT!$B$14),C_CALC!$B$16)*C_CALC!$B$45*$A23+C_CALC!$B$41*(E$21/A_INPUT!$B$14)+C_CALC!$B$42)*(1-C_CALC!$B$57)-(A_INPUT!$B$87+A_INPUT!$B$77*(1-1)))-C_CALC!$B$79-C_CALC!$B$81)-MAX(0,(((MIN(C_CALC!$B$27*(E$21/A_INPUT!$B$14),C_CALC!$B$16)*C_CALC!$B$45*$A23+C_CALC!$B$41*(E$21/A_INPUT!$B$14)+C_CALC!$B$42)*(1-C_CALC!$B$57)-(A_INPUT!$B$87+A_INPUT!$B$77*(1-1)))-C_CALC!$B$79-C_CALC!$B$81))*A_INPUT!$B$109)</f>
        <v>57428.6056433282</v>
      </c>
      <c r="F23" s="21" t="n">
        <f aca="false">((((MIN(C_CALC!$B$27*(F$21/A_INPUT!$B$14),C_CALC!$B$16)*C_CALC!$B$45*$A23+C_CALC!$B$41*(F$21/A_INPUT!$B$14)+C_CALC!$B$42)*(1-C_CALC!$B$57)-(A_INPUT!$B$87+A_INPUT!$B$77*(1-1)))-C_CALC!$B$79-C_CALC!$B$81)-MAX(0,(((MIN(C_CALC!$B$27*(F$21/A_INPUT!$B$14),C_CALC!$B$16)*C_CALC!$B$45*$A23+C_CALC!$B$41*(F$21/A_INPUT!$B$14)+C_CALC!$B$42)*(1-C_CALC!$B$57)-(A_INPUT!$B$87+A_INPUT!$B$77*(1-1)))-C_CALC!$B$79-C_CALC!$B$81))*A_INPUT!$B$109)</f>
        <v>57754.9607903453</v>
      </c>
      <c r="G23" s="21" t="n">
        <f aca="false">((((MIN(C_CALC!$B$27*(G$21/A_INPUT!$B$14),C_CALC!$B$16)*C_CALC!$B$45*$A23+C_CALC!$B$41*(G$21/A_INPUT!$B$14)+C_CALC!$B$42)*(1-C_CALC!$B$57)-(A_INPUT!$B$87+A_INPUT!$B$77*(1-1)))-C_CALC!$B$79-C_CALC!$B$81)-MAX(0,(((MIN(C_CALC!$B$27*(G$21/A_INPUT!$B$14),C_CALC!$B$16)*C_CALC!$B$45*$A23+C_CALC!$B$41*(G$21/A_INPUT!$B$14)+C_CALC!$B$42)*(1-C_CALC!$B$57)-(A_INPUT!$B$87+A_INPUT!$B$77*(1-1)))-C_CALC!$B$79-C_CALC!$B$81))*A_INPUT!$B$109)</f>
        <v>58081.3159373624</v>
      </c>
      <c r="H23" s="21" t="n">
        <f aca="false">((((MIN(C_CALC!$B$27*(H$21/A_INPUT!$B$14),C_CALC!$B$16)*C_CALC!$B$45*$A23+C_CALC!$B$41*(H$21/A_INPUT!$B$14)+C_CALC!$B$42)*(1-C_CALC!$B$57)-(A_INPUT!$B$87+A_INPUT!$B$77*(1-1)))-C_CALC!$B$79-C_CALC!$B$81)-MAX(0,(((MIN(C_CALC!$B$27*(H$21/A_INPUT!$B$14),C_CALC!$B$16)*C_CALC!$B$45*$A23+C_CALC!$B$41*(H$21/A_INPUT!$B$14)+C_CALC!$B$42)*(1-C_CALC!$B$57)-(A_INPUT!$B$87+A_INPUT!$B$77*(1-1)))-C_CALC!$B$79-C_CALC!$B$81))*A_INPUT!$B$109)</f>
        <v>58407.6710843795</v>
      </c>
    </row>
    <row r="24" customFormat="false" ht="15" hidden="false" customHeight="false" outlineLevel="0" collapsed="false">
      <c r="A24" s="95" t="n">
        <v>1</v>
      </c>
      <c r="B24" s="21" t="n">
        <f aca="false">((((MIN(C_CALC!$B$27*(B$21/A_INPUT!$B$14),C_CALC!$B$16)*C_CALC!$B$45*$A24+C_CALC!$B$41*(B$21/A_INPUT!$B$14)+C_CALC!$B$42)*(1-C_CALC!$B$57)-(A_INPUT!$B$87+A_INPUT!$B$77*(1-1)))-C_CALC!$B$79-C_CALC!$B$81)-MAX(0,(((MIN(C_CALC!$B$27*(B$21/A_INPUT!$B$14),C_CALC!$B$16)*C_CALC!$B$45*$A24+C_CALC!$B$41*(B$21/A_INPUT!$B$14)+C_CALC!$B$42)*(1-C_CALC!$B$57)-(A_INPUT!$B$87+A_INPUT!$B$77*(1-1)))-C_CALC!$B$79-C_CALC!$B$81))*A_INPUT!$B$109)</f>
        <v>20278.8598791169</v>
      </c>
      <c r="C24" s="21" t="n">
        <f aca="false">((((MIN(C_CALC!$B$27*(C$21/A_INPUT!$B$14),C_CALC!$B$16)*C_CALC!$B$45*$A24+C_CALC!$B$41*(C$21/A_INPUT!$B$14)+C_CALC!$B$42)*(1-C_CALC!$B$57)-(A_INPUT!$B$87+A_INPUT!$B$77*(1-1)))-C_CALC!$B$79-C_CALC!$B$81)-MAX(0,(((MIN(C_CALC!$B$27*(C$21/A_INPUT!$B$14),C_CALC!$B$16)*C_CALC!$B$45*$A24+C_CALC!$B$41*(C$21/A_INPUT!$B$14)+C_CALC!$B$42)*(1-C_CALC!$B$57)-(A_INPUT!$B$87+A_INPUT!$B$77*(1-1)))-C_CALC!$B$79-C_CALC!$B$81))*A_INPUT!$B$109)</f>
        <v>37468.6165155628</v>
      </c>
      <c r="D24" s="21" t="n">
        <f aca="false">((((MIN(C_CALC!$B$27*(D$21/A_INPUT!$B$14),C_CALC!$B$16)*C_CALC!$B$45*$A24+C_CALC!$B$41*(D$21/A_INPUT!$B$14)+C_CALC!$B$42)*(1-C_CALC!$B$57)-(A_INPUT!$B$87+A_INPUT!$B$77*(1-1)))-C_CALC!$B$79-C_CALC!$B$81)-MAX(0,(((MIN(C_CALC!$B$27*(D$21/A_INPUT!$B$14),C_CALC!$B$16)*C_CALC!$B$45*$A24+C_CALC!$B$41*(D$21/A_INPUT!$B$14)+C_CALC!$B$42)*(1-C_CALC!$B$57)-(A_INPUT!$B$87+A_INPUT!$B$77*(1-1)))-C_CALC!$B$79-C_CALC!$B$81))*A_INPUT!$B$109)</f>
        <v>54658.3731520087</v>
      </c>
      <c r="E24" s="92" t="n">
        <f aca="false">((((MIN(C_CALC!$B$27*(E$21/A_INPUT!$B$14),C_CALC!$B$16)*C_CALC!$B$45*$A24+C_CALC!$B$41*(E$21/A_INPUT!$B$14)+C_CALC!$B$42)*(1-C_CALC!$B$57)-(A_INPUT!$B$87+A_INPUT!$B$77*(1-1)))-C_CALC!$B$79-C_CALC!$B$81)-MAX(0,(((MIN(C_CALC!$B$27*(E$21/A_INPUT!$B$14),C_CALC!$B$16)*C_CALC!$B$45*$A24+C_CALC!$B$41*(E$21/A_INPUT!$B$14)+C_CALC!$B$42)*(1-C_CALC!$B$57)-(A_INPUT!$B$87+A_INPUT!$B$77*(1-1)))-C_CALC!$B$79-C_CALC!$B$81))*A_INPUT!$B$109)</f>
        <v>68942.415230092</v>
      </c>
      <c r="F24" s="21" t="n">
        <f aca="false">((((MIN(C_CALC!$B$27*(F$21/A_INPUT!$B$14),C_CALC!$B$16)*C_CALC!$B$45*$A24+C_CALC!$B$41*(F$21/A_INPUT!$B$14)+C_CALC!$B$42)*(1-C_CALC!$B$57)-(A_INPUT!$B$87+A_INPUT!$B$77*(1-1)))-C_CALC!$B$79-C_CALC!$B$81)-MAX(0,(((MIN(C_CALC!$B$27*(F$21/A_INPUT!$B$14),C_CALC!$B$16)*C_CALC!$B$45*$A24+C_CALC!$B$41*(F$21/A_INPUT!$B$14)+C_CALC!$B$42)*(1-C_CALC!$B$57)-(A_INPUT!$B$87+A_INPUT!$B$77*(1-1)))-C_CALC!$B$79-C_CALC!$B$81))*A_INPUT!$B$109)</f>
        <v>69268.7703771092</v>
      </c>
      <c r="G24" s="21" t="n">
        <f aca="false">((((MIN(C_CALC!$B$27*(G$21/A_INPUT!$B$14),C_CALC!$B$16)*C_CALC!$B$45*$A24+C_CALC!$B$41*(G$21/A_INPUT!$B$14)+C_CALC!$B$42)*(1-C_CALC!$B$57)-(A_INPUT!$B$87+A_INPUT!$B$77*(1-1)))-C_CALC!$B$79-C_CALC!$B$81)-MAX(0,(((MIN(C_CALC!$B$27*(G$21/A_INPUT!$B$14),C_CALC!$B$16)*C_CALC!$B$45*$A24+C_CALC!$B$41*(G$21/A_INPUT!$B$14)+C_CALC!$B$42)*(1-C_CALC!$B$57)-(A_INPUT!$B$87+A_INPUT!$B$77*(1-1)))-C_CALC!$B$79-C_CALC!$B$81))*A_INPUT!$B$109)</f>
        <v>69595.1255241263</v>
      </c>
      <c r="H24" s="21" t="n">
        <f aca="false">((((MIN(C_CALC!$B$27*(H$21/A_INPUT!$B$14),C_CALC!$B$16)*C_CALC!$B$45*$A24+C_CALC!$B$41*(H$21/A_INPUT!$B$14)+C_CALC!$B$42)*(1-C_CALC!$B$57)-(A_INPUT!$B$87+A_INPUT!$B$77*(1-1)))-C_CALC!$B$79-C_CALC!$B$81)-MAX(0,(((MIN(C_CALC!$B$27*(H$21/A_INPUT!$B$14),C_CALC!$B$16)*C_CALC!$B$45*$A24+C_CALC!$B$41*(H$21/A_INPUT!$B$14)+C_CALC!$B$42)*(1-C_CALC!$B$57)-(A_INPUT!$B$87+A_INPUT!$B$77*(1-1)))-C_CALC!$B$79-C_CALC!$B$81))*A_INPUT!$B$109)</f>
        <v>69921.4806711434</v>
      </c>
    </row>
    <row r="25" customFormat="false" ht="15" hidden="false" customHeight="false" outlineLevel="0" collapsed="false">
      <c r="A25" s="95" t="n">
        <v>1.1</v>
      </c>
      <c r="B25" s="21" t="n">
        <f aca="false">((((MIN(C_CALC!$B$27*(B$21/A_INPUT!$B$14),C_CALC!$B$16)*C_CALC!$B$45*$A25+C_CALC!$B$41*(B$21/A_INPUT!$B$14)+C_CALC!$B$42)*(1-C_CALC!$B$57)-(A_INPUT!$B$87+A_INPUT!$B$77*(1-1)))-C_CALC!$B$79-C_CALC!$B$81)-MAX(0,(((MIN(C_CALC!$B$27*(B$21/A_INPUT!$B$14),C_CALC!$B$16)*C_CALC!$B$45*$A25+C_CALC!$B$41*(B$21/A_INPUT!$B$14)+C_CALC!$B$42)*(1-C_CALC!$B$57)-(A_INPUT!$B$87+A_INPUT!$B$77*(1-1)))-C_CALC!$B$79-C_CALC!$B$81))*A_INPUT!$B$109)</f>
        <v>27024.2204748885</v>
      </c>
      <c r="C25" s="21" t="n">
        <f aca="false">((((MIN(C_CALC!$B$27*(C$21/A_INPUT!$B$14),C_CALC!$B$16)*C_CALC!$B$45*$A25+C_CALC!$B$41*(C$21/A_INPUT!$B$14)+C_CALC!$B$42)*(1-C_CALC!$B$57)-(A_INPUT!$B$87+A_INPUT!$B$77*(1-1)))-C_CALC!$B$79-C_CALC!$B$81)-MAX(0,(((MIN(C_CALC!$B$27*(C$21/A_INPUT!$B$14),C_CALC!$B$16)*C_CALC!$B$45*$A25+C_CALC!$B$41*(C$21/A_INPUT!$B$14)+C_CALC!$B$42)*(1-C_CALC!$B$57)-(A_INPUT!$B$87+A_INPUT!$B$77*(1-1)))-C_CALC!$B$79-C_CALC!$B$81))*A_INPUT!$B$109)</f>
        <v>45900.3172602772</v>
      </c>
      <c r="D25" s="21" t="n">
        <f aca="false">((((MIN(C_CALC!$B$27*(D$21/A_INPUT!$B$14),C_CALC!$B$16)*C_CALC!$B$45*$A25+C_CALC!$B$41*(D$21/A_INPUT!$B$14)+C_CALC!$B$42)*(1-C_CALC!$B$57)-(A_INPUT!$B$87+A_INPUT!$B$77*(1-1)))-C_CALC!$B$79-C_CALC!$B$81)-MAX(0,(((MIN(C_CALC!$B$27*(D$21/A_INPUT!$B$14),C_CALC!$B$16)*C_CALC!$B$45*$A25+C_CALC!$B$41*(D$21/A_INPUT!$B$14)+C_CALC!$B$42)*(1-C_CALC!$B$57)-(A_INPUT!$B$87+A_INPUT!$B$77*(1-1)))-C_CALC!$B$79-C_CALC!$B$81))*A_INPUT!$B$109)</f>
        <v>64776.414045666</v>
      </c>
      <c r="E25" s="21" t="n">
        <f aca="false">((((MIN(C_CALC!$B$27*(E$21/A_INPUT!$B$14),C_CALC!$B$16)*C_CALC!$B$45*$A25+C_CALC!$B$41*(E$21/A_INPUT!$B$14)+C_CALC!$B$42)*(1-C_CALC!$B$57)-(A_INPUT!$B$87+A_INPUT!$B$77*(1-1)))-C_CALC!$B$79-C_CALC!$B$81)-MAX(0,(((MIN(C_CALC!$B$27*(E$21/A_INPUT!$B$14),C_CALC!$B$16)*C_CALC!$B$45*$A25+C_CALC!$B$41*(E$21/A_INPUT!$B$14)+C_CALC!$B$42)*(1-C_CALC!$B$57)-(A_INPUT!$B$87+A_INPUT!$B$77*(1-1)))-C_CALC!$B$79-C_CALC!$B$81))*A_INPUT!$B$109)</f>
        <v>80456.2248168559</v>
      </c>
      <c r="F25" s="21" t="n">
        <f aca="false">((((MIN(C_CALC!$B$27*(F$21/A_INPUT!$B$14),C_CALC!$B$16)*C_CALC!$B$45*$A25+C_CALC!$B$41*(F$21/A_INPUT!$B$14)+C_CALC!$B$42)*(1-C_CALC!$B$57)-(A_INPUT!$B$87+A_INPUT!$B$77*(1-1)))-C_CALC!$B$79-C_CALC!$B$81)-MAX(0,(((MIN(C_CALC!$B$27*(F$21/A_INPUT!$B$14),C_CALC!$B$16)*C_CALC!$B$45*$A25+C_CALC!$B$41*(F$21/A_INPUT!$B$14)+C_CALC!$B$42)*(1-C_CALC!$B$57)-(A_INPUT!$B$87+A_INPUT!$B$77*(1-1)))-C_CALC!$B$79-C_CALC!$B$81))*A_INPUT!$B$109)</f>
        <v>80782.5799638731</v>
      </c>
      <c r="G25" s="21" t="n">
        <f aca="false">((((MIN(C_CALC!$B$27*(G$21/A_INPUT!$B$14),C_CALC!$B$16)*C_CALC!$B$45*$A25+C_CALC!$B$41*(G$21/A_INPUT!$B$14)+C_CALC!$B$42)*(1-C_CALC!$B$57)-(A_INPUT!$B$87+A_INPUT!$B$77*(1-1)))-C_CALC!$B$79-C_CALC!$B$81)-MAX(0,(((MIN(C_CALC!$B$27*(G$21/A_INPUT!$B$14),C_CALC!$B$16)*C_CALC!$B$45*$A25+C_CALC!$B$41*(G$21/A_INPUT!$B$14)+C_CALC!$B$42)*(1-C_CALC!$B$57)-(A_INPUT!$B$87+A_INPUT!$B$77*(1-1)))-C_CALC!$B$79-C_CALC!$B$81))*A_INPUT!$B$109)</f>
        <v>81108.9351108902</v>
      </c>
      <c r="H25" s="21" t="n">
        <f aca="false">((((MIN(C_CALC!$B$27*(H$21/A_INPUT!$B$14),C_CALC!$B$16)*C_CALC!$B$45*$A25+C_CALC!$B$41*(H$21/A_INPUT!$B$14)+C_CALC!$B$42)*(1-C_CALC!$B$57)-(A_INPUT!$B$87+A_INPUT!$B$77*(1-1)))-C_CALC!$B$79-C_CALC!$B$81)-MAX(0,(((MIN(C_CALC!$B$27*(H$21/A_INPUT!$B$14),C_CALC!$B$16)*C_CALC!$B$45*$A25+C_CALC!$B$41*(H$21/A_INPUT!$B$14)+C_CALC!$B$42)*(1-C_CALC!$B$57)-(A_INPUT!$B$87+A_INPUT!$B$77*(1-1)))-C_CALC!$B$79-C_CALC!$B$81))*A_INPUT!$B$109)</f>
        <v>81435.2902579073</v>
      </c>
    </row>
    <row r="26" customFormat="false" ht="15" hidden="false" customHeight="false" outlineLevel="0" collapsed="false">
      <c r="A26" s="95" t="n">
        <v>1.2</v>
      </c>
      <c r="B26" s="21" t="n">
        <f aca="false">((((MIN(C_CALC!$B$27*(B$21/A_INPUT!$B$14),C_CALC!$B$16)*C_CALC!$B$45*$A26+C_CALC!$B$41*(B$21/A_INPUT!$B$14)+C_CALC!$B$42)*(1-C_CALC!$B$57)-(A_INPUT!$B$87+A_INPUT!$B$77*(1-1)))-C_CALC!$B$79-C_CALC!$B$81)-MAX(0,(((MIN(C_CALC!$B$27*(B$21/A_INPUT!$B$14),C_CALC!$B$16)*C_CALC!$B$45*$A26+C_CALC!$B$41*(B$21/A_INPUT!$B$14)+C_CALC!$B$42)*(1-C_CALC!$B$57)-(A_INPUT!$B$87+A_INPUT!$B$77*(1-1)))-C_CALC!$B$79-C_CALC!$B$81))*A_INPUT!$B$109)</f>
        <v>33769.58107066</v>
      </c>
      <c r="C26" s="21" t="n">
        <f aca="false">((((MIN(C_CALC!$B$27*(C$21/A_INPUT!$B$14),C_CALC!$B$16)*C_CALC!$B$45*$A26+C_CALC!$B$41*(C$21/A_INPUT!$B$14)+C_CALC!$B$42)*(1-C_CALC!$B$57)-(A_INPUT!$B$87+A_INPUT!$B$77*(1-1)))-C_CALC!$B$79-C_CALC!$B$81)-MAX(0,(((MIN(C_CALC!$B$27*(C$21/A_INPUT!$B$14),C_CALC!$B$16)*C_CALC!$B$45*$A26+C_CALC!$B$41*(C$21/A_INPUT!$B$14)+C_CALC!$B$42)*(1-C_CALC!$B$57)-(A_INPUT!$B$87+A_INPUT!$B$77*(1-1)))-C_CALC!$B$79-C_CALC!$B$81))*A_INPUT!$B$109)</f>
        <v>54332.0180049916</v>
      </c>
      <c r="D26" s="21" t="n">
        <f aca="false">((((MIN(C_CALC!$B$27*(D$21/A_INPUT!$B$14),C_CALC!$B$16)*C_CALC!$B$45*$A26+C_CALC!$B$41*(D$21/A_INPUT!$B$14)+C_CALC!$B$42)*(1-C_CALC!$B$57)-(A_INPUT!$B$87+A_INPUT!$B$77*(1-1)))-C_CALC!$B$79-C_CALC!$B$81)-MAX(0,(((MIN(C_CALC!$B$27*(D$21/A_INPUT!$B$14),C_CALC!$B$16)*C_CALC!$B$45*$A26+C_CALC!$B$41*(D$21/A_INPUT!$B$14)+C_CALC!$B$42)*(1-C_CALC!$B$57)-(A_INPUT!$B$87+A_INPUT!$B$77*(1-1)))-C_CALC!$B$79-C_CALC!$B$81))*A_INPUT!$B$109)</f>
        <v>74894.4549393233</v>
      </c>
      <c r="E26" s="21" t="n">
        <f aca="false">((((MIN(C_CALC!$B$27*(E$21/A_INPUT!$B$14),C_CALC!$B$16)*C_CALC!$B$45*$A26+C_CALC!$B$41*(E$21/A_INPUT!$B$14)+C_CALC!$B$42)*(1-C_CALC!$B$57)-(A_INPUT!$B$87+A_INPUT!$B$77*(1-1)))-C_CALC!$B$79-C_CALC!$B$81)-MAX(0,(((MIN(C_CALC!$B$27*(E$21/A_INPUT!$B$14),C_CALC!$B$16)*C_CALC!$B$45*$A26+C_CALC!$B$41*(E$21/A_INPUT!$B$14)+C_CALC!$B$42)*(1-C_CALC!$B$57)-(A_INPUT!$B$87+A_INPUT!$B$77*(1-1)))-C_CALC!$B$79-C_CALC!$B$81))*A_INPUT!$B$109)</f>
        <v>91970.0344036198</v>
      </c>
      <c r="F26" s="21" t="n">
        <f aca="false">((((MIN(C_CALC!$B$27*(F$21/A_INPUT!$B$14),C_CALC!$B$16)*C_CALC!$B$45*$A26+C_CALC!$B$41*(F$21/A_INPUT!$B$14)+C_CALC!$B$42)*(1-C_CALC!$B$57)-(A_INPUT!$B$87+A_INPUT!$B$77*(1-1)))-C_CALC!$B$79-C_CALC!$B$81)-MAX(0,(((MIN(C_CALC!$B$27*(F$21/A_INPUT!$B$14),C_CALC!$B$16)*C_CALC!$B$45*$A26+C_CALC!$B$41*(F$21/A_INPUT!$B$14)+C_CALC!$B$42)*(1-C_CALC!$B$57)-(A_INPUT!$B$87+A_INPUT!$B$77*(1-1)))-C_CALC!$B$79-C_CALC!$B$81))*A_INPUT!$B$109)</f>
        <v>92296.3895506369</v>
      </c>
      <c r="G26" s="21" t="n">
        <f aca="false">((((MIN(C_CALC!$B$27*(G$21/A_INPUT!$B$14),C_CALC!$B$16)*C_CALC!$B$45*$A26+C_CALC!$B$41*(G$21/A_INPUT!$B$14)+C_CALC!$B$42)*(1-C_CALC!$B$57)-(A_INPUT!$B$87+A_INPUT!$B$77*(1-1)))-C_CALC!$B$79-C_CALC!$B$81)-MAX(0,(((MIN(C_CALC!$B$27*(G$21/A_INPUT!$B$14),C_CALC!$B$16)*C_CALC!$B$45*$A26+C_CALC!$B$41*(G$21/A_INPUT!$B$14)+C_CALC!$B$42)*(1-C_CALC!$B$57)-(A_INPUT!$B$87+A_INPUT!$B$77*(1-1)))-C_CALC!$B$79-C_CALC!$B$81))*A_INPUT!$B$109)</f>
        <v>92622.7446976541</v>
      </c>
      <c r="H26" s="21" t="n">
        <f aca="false">((((MIN(C_CALC!$B$27*(H$21/A_INPUT!$B$14),C_CALC!$B$16)*C_CALC!$B$45*$A26+C_CALC!$B$41*(H$21/A_INPUT!$B$14)+C_CALC!$B$42)*(1-C_CALC!$B$57)-(A_INPUT!$B$87+A_INPUT!$B$77*(1-1)))-C_CALC!$B$79-C_CALC!$B$81)-MAX(0,(((MIN(C_CALC!$B$27*(H$21/A_INPUT!$B$14),C_CALC!$B$16)*C_CALC!$B$45*$A26+C_CALC!$B$41*(H$21/A_INPUT!$B$14)+C_CALC!$B$42)*(1-C_CALC!$B$57)-(A_INPUT!$B$87+A_INPUT!$B$77*(1-1)))-C_CALC!$B$79-C_CALC!$B$81))*A_INPUT!$B$109)</f>
        <v>92949.0998446712</v>
      </c>
    </row>
    <row r="27" customFormat="false" ht="15" hidden="false" customHeight="false" outlineLevel="0" collapsed="false">
      <c r="A27" s="35" t="s">
        <v>642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tru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52"/>
  </cols>
  <sheetData>
    <row r="1" customFormat="false" ht="25.5" hidden="false" customHeight="true" outlineLevel="0" collapsed="false">
      <c r="A1" s="30" t="s">
        <v>643</v>
      </c>
      <c r="B1" s="30"/>
      <c r="C1" s="30"/>
      <c r="D1" s="30"/>
      <c r="E1" s="30"/>
    </row>
    <row r="2" customFormat="false" ht="15" hidden="false" customHeight="false" outlineLevel="0" collapsed="false">
      <c r="A2" s="35" t="s">
        <v>644</v>
      </c>
    </row>
    <row r="4" customFormat="false" ht="27.75" hidden="false" customHeight="true" outlineLevel="0" collapsed="false">
      <c r="A4" s="32" t="s">
        <v>645</v>
      </c>
      <c r="B4" s="32" t="s">
        <v>646</v>
      </c>
      <c r="C4" s="32" t="s">
        <v>647</v>
      </c>
      <c r="D4" s="32" t="s">
        <v>648</v>
      </c>
      <c r="E4" s="32" t="s">
        <v>649</v>
      </c>
    </row>
    <row r="5" customFormat="false" ht="15" hidden="false" customHeight="false" outlineLevel="0" collapsed="false">
      <c r="A5" s="13" t="s">
        <v>650</v>
      </c>
      <c r="B5" s="83" t="n">
        <v>0.15</v>
      </c>
      <c r="C5" s="97" t="n">
        <v>4</v>
      </c>
      <c r="D5" s="98" t="n">
        <f aca="false">B5*C5</f>
        <v>0.6</v>
      </c>
      <c r="E5" s="16" t="s">
        <v>651</v>
      </c>
    </row>
    <row r="6" customFormat="false" ht="15" hidden="false" customHeight="false" outlineLevel="0" collapsed="false">
      <c r="A6" s="13" t="s">
        <v>652</v>
      </c>
      <c r="B6" s="83" t="n">
        <v>0.12</v>
      </c>
      <c r="C6" s="97" t="n">
        <v>4</v>
      </c>
      <c r="D6" s="98" t="n">
        <f aca="false">B6*C6</f>
        <v>0.48</v>
      </c>
      <c r="E6" s="16" t="s">
        <v>653</v>
      </c>
    </row>
    <row r="7" customFormat="false" ht="15" hidden="false" customHeight="false" outlineLevel="0" collapsed="false">
      <c r="A7" s="13" t="s">
        <v>116</v>
      </c>
      <c r="B7" s="83" t="n">
        <v>0.12</v>
      </c>
      <c r="C7" s="97" t="n">
        <v>3</v>
      </c>
      <c r="D7" s="98" t="n">
        <f aca="false">B7*C7</f>
        <v>0.36</v>
      </c>
      <c r="E7" s="16" t="s">
        <v>654</v>
      </c>
    </row>
    <row r="8" customFormat="false" ht="15" hidden="false" customHeight="false" outlineLevel="0" collapsed="false">
      <c r="A8" s="13" t="s">
        <v>655</v>
      </c>
      <c r="B8" s="83" t="n">
        <v>0.1</v>
      </c>
      <c r="C8" s="97" t="n">
        <v>4</v>
      </c>
      <c r="D8" s="98" t="n">
        <f aca="false">B8*C8</f>
        <v>0.4</v>
      </c>
      <c r="E8" s="16" t="s">
        <v>656</v>
      </c>
    </row>
    <row r="9" customFormat="false" ht="15" hidden="false" customHeight="false" outlineLevel="0" collapsed="false">
      <c r="A9" s="13" t="s">
        <v>657</v>
      </c>
      <c r="B9" s="83" t="n">
        <v>0.1</v>
      </c>
      <c r="C9" s="97" t="n">
        <v>3</v>
      </c>
      <c r="D9" s="98" t="n">
        <f aca="false">B9*C9</f>
        <v>0.3</v>
      </c>
      <c r="E9" s="16" t="s">
        <v>658</v>
      </c>
    </row>
    <row r="10" customFormat="false" ht="15" hidden="false" customHeight="false" outlineLevel="0" collapsed="false">
      <c r="A10" s="13" t="s">
        <v>659</v>
      </c>
      <c r="B10" s="83" t="n">
        <v>0.1</v>
      </c>
      <c r="C10" s="97" t="n">
        <v>3</v>
      </c>
      <c r="D10" s="98" t="n">
        <f aca="false">B10*C10</f>
        <v>0.3</v>
      </c>
      <c r="E10" s="16" t="s">
        <v>660</v>
      </c>
    </row>
    <row r="11" customFormat="false" ht="15" hidden="false" customHeight="false" outlineLevel="0" collapsed="false">
      <c r="A11" s="13" t="s">
        <v>661</v>
      </c>
      <c r="B11" s="83" t="n">
        <v>0.08</v>
      </c>
      <c r="C11" s="97" t="n">
        <v>5</v>
      </c>
      <c r="D11" s="98" t="n">
        <f aca="false">B11*C11</f>
        <v>0.4</v>
      </c>
      <c r="E11" s="16" t="s">
        <v>662</v>
      </c>
    </row>
    <row r="12" customFormat="false" ht="15" hidden="false" customHeight="false" outlineLevel="0" collapsed="false">
      <c r="A12" s="13" t="s">
        <v>663</v>
      </c>
      <c r="B12" s="83" t="n">
        <v>0.07</v>
      </c>
      <c r="C12" s="97" t="n">
        <v>4</v>
      </c>
      <c r="D12" s="98" t="n">
        <f aca="false">B12*C12</f>
        <v>0.28</v>
      </c>
      <c r="E12" s="16" t="s">
        <v>664</v>
      </c>
    </row>
    <row r="13" customFormat="false" ht="15" hidden="false" customHeight="false" outlineLevel="0" collapsed="false">
      <c r="A13" s="13" t="s">
        <v>665</v>
      </c>
      <c r="B13" s="83" t="n">
        <v>0.05</v>
      </c>
      <c r="C13" s="97" t="n">
        <v>4</v>
      </c>
      <c r="D13" s="98" t="n">
        <f aca="false">B13*C13</f>
        <v>0.2</v>
      </c>
      <c r="E13" s="16" t="s">
        <v>666</v>
      </c>
    </row>
    <row r="14" customFormat="false" ht="15" hidden="false" customHeight="false" outlineLevel="0" collapsed="false">
      <c r="A14" s="13" t="s">
        <v>667</v>
      </c>
      <c r="B14" s="83" t="n">
        <v>0.05</v>
      </c>
      <c r="C14" s="97" t="n">
        <v>4</v>
      </c>
      <c r="D14" s="98" t="n">
        <f aca="false">B14*C14</f>
        <v>0.2</v>
      </c>
      <c r="E14" s="16" t="s">
        <v>668</v>
      </c>
    </row>
    <row r="15" customFormat="false" ht="15" hidden="false" customHeight="false" outlineLevel="0" collapsed="false">
      <c r="A15" s="13" t="s">
        <v>669</v>
      </c>
      <c r="B15" s="83" t="n">
        <v>0.03</v>
      </c>
      <c r="C15" s="97" t="n">
        <v>3</v>
      </c>
      <c r="D15" s="98" t="n">
        <f aca="false">B15*C15</f>
        <v>0.09</v>
      </c>
      <c r="E15" s="16" t="s">
        <v>670</v>
      </c>
    </row>
    <row r="16" customFormat="false" ht="15" hidden="false" customHeight="false" outlineLevel="0" collapsed="false">
      <c r="A16" s="13" t="s">
        <v>671</v>
      </c>
      <c r="B16" s="83" t="n">
        <v>0.03</v>
      </c>
      <c r="C16" s="97" t="n">
        <v>4</v>
      </c>
      <c r="D16" s="98" t="n">
        <f aca="false">B16*C16</f>
        <v>0.12</v>
      </c>
      <c r="E16" s="16" t="s">
        <v>672</v>
      </c>
    </row>
    <row r="17" customFormat="false" ht="15" hidden="false" customHeight="false" outlineLevel="0" collapsed="false">
      <c r="A17" s="39" t="s">
        <v>673</v>
      </c>
      <c r="B17" s="67" t="n">
        <f aca="false">SUM(B5:B16)</f>
        <v>1</v>
      </c>
      <c r="C17" s="46"/>
      <c r="D17" s="99" t="n">
        <f aca="false">SUM(D5:D16)</f>
        <v>3.73</v>
      </c>
      <c r="E17" s="100" t="s">
        <v>674</v>
      </c>
    </row>
    <row r="19" customFormat="false" ht="15" hidden="false" customHeight="false" outlineLevel="0" collapsed="false">
      <c r="A19" s="59" t="s">
        <v>675</v>
      </c>
      <c r="B19" s="60"/>
      <c r="C19" s="60"/>
      <c r="D19" s="60"/>
      <c r="E19" s="60"/>
    </row>
    <row r="20" customFormat="false" ht="25.5" hidden="false" customHeight="true" outlineLevel="0" collapsed="false">
      <c r="A20" s="101" t="str">
        <f aca="false">IF(ABS(B17-1)&gt;0.001,"น้ำหนักรวมไม่เท่ากับ 100% — แก้ไขคอลัมน์น้ำหนักก่อน",IF(D17&gt;=4,"GO — ทำเลดีมาก เดินหน้าเจรจาสัญญาเช่า",IF(D17&gt;=3.5,"GO (มีเงื่อนไข) — ต่อรองค่าเช่า/แก้จุดอ่อนก่อนเซ็นสัญญา",IF(D17&gt;=3,"HOLD — หาทำเลเปรียบเทียบอีก 2-3 แห่ง","NO-GO — ความเสี่ยงสูงเกินไป"))))</f>
        <v>GO (มีเงื่อนไข) — ต่อรองค่าเช่า/แก้จุดอ่อนก่อนเซ็นสัญญา</v>
      </c>
      <c r="B20" s="101"/>
      <c r="C20" s="101"/>
      <c r="D20" s="101"/>
      <c r="E20" s="101"/>
    </row>
  </sheetData>
  <mergeCells count="2">
    <mergeCell ref="A1:E1"/>
    <mergeCell ref="A20:E20"/>
  </mergeCells>
  <dataValidations count="1">
    <dataValidation allowBlank="true" errorStyle="stop" operator="between" showDropDown="false" showErrorMessage="false" showInputMessage="false" sqref="C5:C16" type="list">
      <formula1>Z_LISTS!$J$2:$J$6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E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6"/>
    <col collapsed="false" customWidth="true" hidden="false" outlineLevel="0" max="4" min="4" style="0" width="28"/>
    <col collapsed="false" customWidth="true" hidden="false" outlineLevel="0" max="5" min="5" style="0" width="20"/>
    <col collapsed="false" customWidth="true" hidden="false" outlineLevel="0" max="6" min="6" style="0" width="6"/>
  </cols>
  <sheetData>
    <row r="1" customFormat="false" ht="15" hidden="false" customHeight="true" outlineLevel="0" collapsed="false">
      <c r="A1" s="102" t="s">
        <v>676</v>
      </c>
      <c r="B1" s="102"/>
      <c r="D1" s="103" t="s">
        <v>677</v>
      </c>
      <c r="E1" s="103"/>
    </row>
    <row r="2" customFormat="false" ht="15" hidden="false" customHeight="false" outlineLevel="0" collapsed="false">
      <c r="A2" s="102"/>
      <c r="B2" s="102"/>
      <c r="D2" s="103"/>
      <c r="E2" s="103"/>
    </row>
    <row r="3" customFormat="false" ht="15" hidden="false" customHeight="false" outlineLevel="0" collapsed="false">
      <c r="A3" s="102"/>
      <c r="B3" s="102"/>
      <c r="D3" s="103"/>
      <c r="E3" s="103"/>
    </row>
    <row r="5" customFormat="false" ht="30" hidden="false" customHeight="true" outlineLevel="0" collapsed="false">
      <c r="A5" s="104" t="s">
        <v>678</v>
      </c>
      <c r="B5" s="104"/>
      <c r="C5" s="104"/>
      <c r="D5" s="104"/>
      <c r="E5" s="104"/>
    </row>
    <row r="7" customFormat="false" ht="15" hidden="false" customHeight="false" outlineLevel="0" collapsed="false">
      <c r="A7" s="105" t="s">
        <v>679</v>
      </c>
      <c r="B7" s="60"/>
      <c r="D7" s="105" t="s">
        <v>518</v>
      </c>
      <c r="E7" s="60"/>
    </row>
    <row r="8" customFormat="false" ht="15" hidden="false" customHeight="false" outlineLevel="0" collapsed="false">
      <c r="A8" s="13" t="s">
        <v>680</v>
      </c>
      <c r="B8" s="57" t="str">
        <f aca="false">A_INPUT!$B$5</f>
        <v>Laundromat_สาขาตัวอย่าง</v>
      </c>
      <c r="D8" s="24" t="s">
        <v>519</v>
      </c>
      <c r="E8" s="106" t="n">
        <f aca="false">C_CALC!$B$69</f>
        <v>1362000</v>
      </c>
    </row>
    <row r="9" customFormat="false" ht="15" hidden="false" customHeight="false" outlineLevel="0" collapsed="false">
      <c r="A9" s="13" t="s">
        <v>99</v>
      </c>
      <c r="B9" s="57" t="str">
        <f aca="false">A_INPUT!$B$6</f>
        <v>K.ตัวอย่าง</v>
      </c>
      <c r="D9" s="24" t="s">
        <v>681</v>
      </c>
      <c r="E9" s="106" t="n">
        <f aca="false">C_CALC!$B$71</f>
        <v>1362000</v>
      </c>
    </row>
    <row r="10" customFormat="false" ht="15" hidden="false" customHeight="false" outlineLevel="0" collapsed="false">
      <c r="A10" s="13" t="s">
        <v>101</v>
      </c>
      <c r="B10" s="57" t="str">
        <f aca="false">A_INPUT!$B$7</f>
        <v>ระบุชื่อทำเล</v>
      </c>
      <c r="D10" s="24" t="s">
        <v>682</v>
      </c>
      <c r="E10" s="106" t="n">
        <f aca="false">C_CALC!$B$43</f>
        <v>205630.852340936</v>
      </c>
    </row>
    <row r="11" customFormat="false" ht="15" hidden="false" customHeight="false" outlineLevel="0" collapsed="false">
      <c r="A11" s="13" t="s">
        <v>683</v>
      </c>
      <c r="B11" s="57" t="str">
        <f aca="false">A_INPUT!$B$8</f>
        <v>หน้าหอพัก/คอนโด</v>
      </c>
      <c r="D11" s="24" t="s">
        <v>630</v>
      </c>
      <c r="E11" s="106" t="n">
        <f aca="false">C_CALC!$B$78</f>
        <v>101194.894037615</v>
      </c>
    </row>
    <row r="12" customFormat="false" ht="15" hidden="false" customHeight="false" outlineLevel="0" collapsed="false">
      <c r="A12" s="13" t="s">
        <v>107</v>
      </c>
      <c r="B12" s="57" t="str">
        <f aca="false">A_INPUT!$B$9</f>
        <v>Krittanan</v>
      </c>
      <c r="D12" s="24" t="s">
        <v>684</v>
      </c>
      <c r="E12" s="106" t="n">
        <f aca="false">C_CALC!$B$84</f>
        <v>68942.415230092</v>
      </c>
    </row>
    <row r="13" customFormat="false" ht="15" hidden="false" customHeight="false" outlineLevel="0" collapsed="false">
      <c r="A13" s="13" t="s">
        <v>109</v>
      </c>
      <c r="B13" s="107" t="n">
        <f aca="false">A_INPUT!$B$10</f>
        <v>46284</v>
      </c>
      <c r="D13" s="24" t="s">
        <v>523</v>
      </c>
      <c r="E13" s="108" t="n">
        <f aca="false">C_CALC!$B$85</f>
        <v>0.335272720242317</v>
      </c>
    </row>
    <row r="14" customFormat="false" ht="15" hidden="false" customHeight="false" outlineLevel="0" collapsed="false">
      <c r="A14" s="13" t="s">
        <v>685</v>
      </c>
      <c r="B14" s="57" t="str">
        <f aca="false">A_INPUT!$B$25</f>
        <v>L</v>
      </c>
      <c r="D14" s="24" t="s">
        <v>686</v>
      </c>
      <c r="E14" s="109" t="n">
        <f aca="false">C_CALC!$B$90</f>
        <v>16.2221476178207</v>
      </c>
    </row>
    <row r="15" customFormat="false" ht="15" hidden="false" customHeight="false" outlineLevel="0" collapsed="false">
      <c r="A15" s="13" t="s">
        <v>687</v>
      </c>
      <c r="B15" s="21" t="n">
        <f aca="false">C_CALC!$B$6</f>
        <v>10</v>
      </c>
      <c r="D15" s="24" t="s">
        <v>489</v>
      </c>
      <c r="E15" s="108" t="n">
        <f aca="false">C_CALC!$B$92</f>
        <v>0.607422160617551</v>
      </c>
    </row>
    <row r="16" customFormat="false" ht="15" hidden="false" customHeight="false" outlineLevel="0" collapsed="false">
      <c r="A16" s="13" t="s">
        <v>688</v>
      </c>
      <c r="B16" s="98" t="n">
        <f aca="false">H_LOCATION_SCORE!$D$17</f>
        <v>3.73</v>
      </c>
      <c r="D16" s="24" t="s">
        <v>689</v>
      </c>
      <c r="E16" s="108" t="n">
        <f aca="false">E_CASHFLOW!$D$3</f>
        <v>1.09706665970718</v>
      </c>
    </row>
    <row r="18" customFormat="false" ht="15" hidden="false" customHeight="false" outlineLevel="0" collapsed="false">
      <c r="A18" s="105" t="s">
        <v>690</v>
      </c>
      <c r="B18" s="60"/>
      <c r="D18" s="60"/>
      <c r="E18" s="60"/>
    </row>
    <row r="19" customFormat="false" ht="15" hidden="false" customHeight="false" outlineLevel="0" collapsed="false">
      <c r="A19" s="42" t="s">
        <v>691</v>
      </c>
      <c r="B19" s="45" t="n">
        <f aca="false">A_INPUT!$B$13</f>
        <v>3000</v>
      </c>
      <c r="D19" s="42" t="s">
        <v>692</v>
      </c>
      <c r="E19" s="110" t="n">
        <f aca="false">A_INPUT!$B$14</f>
        <v>0.35</v>
      </c>
    </row>
    <row r="20" customFormat="false" ht="15" hidden="false" customHeight="false" outlineLevel="0" collapsed="false">
      <c r="A20" s="42" t="s">
        <v>693</v>
      </c>
      <c r="B20" s="111" t="n">
        <f aca="false">A_INPUT!$B$18</f>
        <v>3</v>
      </c>
      <c r="D20" s="42" t="s">
        <v>694</v>
      </c>
      <c r="E20" s="45" t="n">
        <f aca="false">A_INPUT!$B$17</f>
        <v>656.25</v>
      </c>
    </row>
    <row r="21" customFormat="false" ht="15" hidden="false" customHeight="false" outlineLevel="0" collapsed="false">
      <c r="A21" s="42" t="s">
        <v>695</v>
      </c>
      <c r="B21" s="112" t="n">
        <f aca="false">C_CALC!$B$20</f>
        <v>50</v>
      </c>
      <c r="D21" s="42" t="s">
        <v>696</v>
      </c>
      <c r="E21" s="112" t="n">
        <f aca="false">C_CALC!$B$21</f>
        <v>50</v>
      </c>
    </row>
    <row r="22" customFormat="false" ht="15" hidden="false" customHeight="false" outlineLevel="0" collapsed="false">
      <c r="A22" s="42" t="s">
        <v>697</v>
      </c>
      <c r="B22" s="111" t="n">
        <f aca="false">C_CALC!$B$7</f>
        <v>36</v>
      </c>
      <c r="D22" s="42" t="s">
        <v>698</v>
      </c>
      <c r="E22" s="111" t="n">
        <f aca="false">C_CALC!$B$8</f>
        <v>45</v>
      </c>
    </row>
    <row r="23" customFormat="false" ht="15" hidden="false" customHeight="false" outlineLevel="0" collapsed="false">
      <c r="A23" s="42" t="s">
        <v>699</v>
      </c>
      <c r="B23" s="111" t="n">
        <f aca="false">A_INPUT!$B$55</f>
        <v>24</v>
      </c>
      <c r="D23" s="42" t="s">
        <v>700</v>
      </c>
      <c r="E23" s="45" t="n">
        <f aca="false">A_INPUT!$B$60</f>
        <v>30</v>
      </c>
    </row>
    <row r="24" customFormat="false" ht="15" hidden="false" customHeight="false" outlineLevel="0" collapsed="false">
      <c r="A24" s="42" t="s">
        <v>701</v>
      </c>
      <c r="B24" s="110" t="n">
        <f aca="false">A_INPUT!$B$56</f>
        <v>0.35</v>
      </c>
      <c r="D24" s="42" t="s">
        <v>702</v>
      </c>
      <c r="E24" s="110" t="n">
        <f aca="false">A_INPUT!$B$57</f>
        <v>0.65</v>
      </c>
    </row>
    <row r="25" customFormat="false" ht="15" hidden="false" customHeight="false" outlineLevel="0" collapsed="false">
      <c r="A25" s="42" t="s">
        <v>703</v>
      </c>
      <c r="B25" s="45" t="n">
        <f aca="false">A_INPUT!$B$77</f>
        <v>25000</v>
      </c>
      <c r="D25" s="42" t="s">
        <v>704</v>
      </c>
      <c r="E25" s="45" t="n">
        <f aca="false">A_INPUT!$B$79</f>
        <v>12000</v>
      </c>
    </row>
    <row r="26" customFormat="false" ht="15" hidden="false" customHeight="false" outlineLevel="0" collapsed="false">
      <c r="A26" s="42" t="s">
        <v>705</v>
      </c>
      <c r="B26" s="45" t="n">
        <f aca="false">C_CALC!$B$48</f>
        <v>17049.5529411765</v>
      </c>
      <c r="D26" s="42" t="s">
        <v>706</v>
      </c>
      <c r="E26" s="45" t="n">
        <f aca="false">C_CALC!$B$49</f>
        <v>23763.5654261705</v>
      </c>
    </row>
    <row r="27" customFormat="false" ht="15" hidden="false" customHeight="false" outlineLevel="0" collapsed="false">
      <c r="A27" s="42" t="s">
        <v>707</v>
      </c>
      <c r="B27" s="45" t="n">
        <f aca="false">C_CALC!$B$32</f>
        <v>4032.60504201681</v>
      </c>
      <c r="D27" s="42" t="s">
        <v>525</v>
      </c>
      <c r="E27" s="110" t="n">
        <f aca="false">C_CALC!$B$28</f>
        <v>1.02523677794449</v>
      </c>
    </row>
    <row r="28" customFormat="false" ht="15" hidden="false" customHeight="false" outlineLevel="0" collapsed="false">
      <c r="A28" s="42" t="s">
        <v>493</v>
      </c>
      <c r="B28" s="111" t="n">
        <f aca="false">C_CALC!$B$95</f>
        <v>42.5737061677655</v>
      </c>
      <c r="D28" s="42" t="s">
        <v>708</v>
      </c>
      <c r="E28" s="45" t="n">
        <f aca="false">C_CALC!$B$94</f>
        <v>63860.5592516483</v>
      </c>
    </row>
    <row r="30" customFormat="false" ht="15" hidden="false" customHeight="false" outlineLevel="0" collapsed="false">
      <c r="A30" s="105" t="s">
        <v>709</v>
      </c>
      <c r="B30" s="60"/>
      <c r="D30" s="60"/>
      <c r="E30" s="60"/>
    </row>
    <row r="31" customFormat="false" ht="15" hidden="false" customHeight="false" outlineLevel="0" collapsed="false">
      <c r="A31" s="39" t="s">
        <v>710</v>
      </c>
      <c r="B31" s="28" t="n">
        <f aca="false">C_CALC!$B$43</f>
        <v>205630.852340936</v>
      </c>
      <c r="D31" s="113" t="s">
        <v>528</v>
      </c>
      <c r="E31" s="67" t="n">
        <f aca="false">IFERROR(B31/C_CALC!$B$43,0)</f>
        <v>1</v>
      </c>
    </row>
    <row r="32" customFormat="false" ht="15" hidden="false" customHeight="false" outlineLevel="0" collapsed="false">
      <c r="A32" s="13" t="s">
        <v>711</v>
      </c>
      <c r="B32" s="21" t="n">
        <f aca="false">-C_CALC!$B$56</f>
        <v>-58852.624969988</v>
      </c>
      <c r="D32" s="42" t="s">
        <v>528</v>
      </c>
      <c r="E32" s="20" t="n">
        <f aca="false">IFERROR(B32/C_CALC!$B$43,0)</f>
        <v>-0.286205227960687</v>
      </c>
    </row>
    <row r="33" customFormat="false" ht="15" hidden="false" customHeight="false" outlineLevel="0" collapsed="false">
      <c r="A33" s="13" t="s">
        <v>712</v>
      </c>
      <c r="B33" s="21" t="n">
        <f aca="false">-A_INPUT!$B$87</f>
        <v>-45583.3333333333</v>
      </c>
      <c r="D33" s="42" t="s">
        <v>528</v>
      </c>
      <c r="E33" s="20" t="n">
        <f aca="false">IFERROR(B33/C_CALC!$B$43,0)</f>
        <v>-0.221675555075539</v>
      </c>
    </row>
    <row r="34" customFormat="false" ht="15" hidden="false" customHeight="false" outlineLevel="0" collapsed="false">
      <c r="A34" s="39" t="s">
        <v>474</v>
      </c>
      <c r="B34" s="28" t="n">
        <f aca="false">C_CALC!$B$78</f>
        <v>101194.894037615</v>
      </c>
      <c r="D34" s="113" t="s">
        <v>528</v>
      </c>
      <c r="E34" s="67" t="n">
        <f aca="false">IFERROR(B34/C_CALC!$B$43,0)</f>
        <v>0.492119216963774</v>
      </c>
    </row>
    <row r="35" customFormat="false" ht="15" hidden="false" customHeight="false" outlineLevel="0" collapsed="false">
      <c r="A35" s="13" t="s">
        <v>713</v>
      </c>
      <c r="B35" s="21" t="n">
        <f aca="false">-C_CALC!$B$79-C_CALC!$B$81-C_CALC!$B$83</f>
        <v>-32252.478807523</v>
      </c>
      <c r="D35" s="42" t="s">
        <v>528</v>
      </c>
      <c r="E35" s="20" t="n">
        <f aca="false">IFERROR(B35/C_CALC!$B$43,0)</f>
        <v>-0.156846496721457</v>
      </c>
    </row>
    <row r="36" customFormat="false" ht="15" hidden="false" customHeight="false" outlineLevel="0" collapsed="false">
      <c r="A36" s="39" t="s">
        <v>480</v>
      </c>
      <c r="B36" s="28" t="n">
        <f aca="false">C_CALC!$B$84</f>
        <v>68942.415230092</v>
      </c>
      <c r="D36" s="113" t="s">
        <v>528</v>
      </c>
      <c r="E36" s="67" t="n">
        <f aca="false">IFERROR(B36/C_CALC!$B$43,0)</f>
        <v>0.335272720242317</v>
      </c>
    </row>
    <row r="38" customFormat="false" ht="15" hidden="false" customHeight="false" outlineLevel="0" collapsed="false">
      <c r="A38" s="114" t="str">
        <f aca="false">C_CALC!$B$104&amp;"  |  "&amp;C_CALC!$B$101</f>
        <v>ดี: คืนทุนภายใน 24 เดือน  |  เครื่องไม่พอ — ความต้องการเกินกำลังผลิต ควรอัปแพ็กเกจหรือขึ้นราคา</v>
      </c>
      <c r="B38" s="114"/>
      <c r="C38" s="114"/>
      <c r="D38" s="114"/>
      <c r="E38" s="114"/>
    </row>
    <row r="40" customFormat="false" ht="15" hidden="false" customHeight="false" outlineLevel="0" collapsed="false">
      <c r="A40" s="115" t="s">
        <v>714</v>
      </c>
      <c r="D40" s="115" t="s">
        <v>715</v>
      </c>
    </row>
    <row r="43" customFormat="false" ht="15" hidden="false" customHeight="false" outlineLevel="0" collapsed="false">
      <c r="A43" s="115" t="s">
        <v>716</v>
      </c>
      <c r="D43" s="115" t="s">
        <v>716</v>
      </c>
    </row>
    <row r="44" customFormat="false" ht="15" hidden="false" customHeight="false" outlineLevel="0" collapsed="false">
      <c r="A44" s="115" t="s">
        <v>717</v>
      </c>
      <c r="D44" s="115" t="s">
        <v>717</v>
      </c>
    </row>
    <row r="46" customFormat="false" ht="15" hidden="false" customHeight="false" outlineLevel="0" collapsed="false">
      <c r="A46" s="116" t="s">
        <v>718</v>
      </c>
    </row>
  </sheetData>
  <mergeCells count="4">
    <mergeCell ref="A1:B3"/>
    <mergeCell ref="D1:E3"/>
    <mergeCell ref="A5:E5"/>
    <mergeCell ref="A38:E38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tru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0" min="1" style="0" width="30"/>
  </cols>
  <sheetData>
    <row r="1" customFormat="false" ht="15" hidden="false" customHeight="false" outlineLevel="0" collapsed="false">
      <c r="A1" s="117" t="s">
        <v>719</v>
      </c>
      <c r="B1" s="117" t="s">
        <v>720</v>
      </c>
      <c r="C1" s="117" t="s">
        <v>721</v>
      </c>
      <c r="D1" s="117" t="s">
        <v>722</v>
      </c>
      <c r="E1" s="117" t="s">
        <v>723</v>
      </c>
      <c r="F1" s="117" t="s">
        <v>724</v>
      </c>
      <c r="G1" s="117" t="s">
        <v>725</v>
      </c>
      <c r="H1" s="117" t="s">
        <v>726</v>
      </c>
      <c r="I1" s="117" t="s">
        <v>727</v>
      </c>
      <c r="J1" s="117" t="s">
        <v>728</v>
      </c>
    </row>
    <row r="2" customFormat="false" ht="15" hidden="false" customHeight="false" outlineLevel="0" collapsed="false">
      <c r="A2" s="42" t="s">
        <v>306</v>
      </c>
      <c r="B2" s="42" t="s">
        <v>729</v>
      </c>
      <c r="C2" s="42" t="s">
        <v>730</v>
      </c>
      <c r="D2" s="42" t="s">
        <v>731</v>
      </c>
      <c r="E2" s="42" t="s">
        <v>256</v>
      </c>
      <c r="F2" s="118" t="n">
        <v>0.2</v>
      </c>
      <c r="G2" s="118" t="n">
        <v>0</v>
      </c>
      <c r="H2" s="42" t="s">
        <v>108</v>
      </c>
      <c r="I2" s="42" t="s">
        <v>104</v>
      </c>
      <c r="J2" s="42" t="n">
        <v>1</v>
      </c>
    </row>
    <row r="3" customFormat="false" ht="15" hidden="false" customHeight="false" outlineLevel="0" collapsed="false">
      <c r="A3" s="42" t="s">
        <v>307</v>
      </c>
      <c r="B3" s="42" t="s">
        <v>137</v>
      </c>
      <c r="C3" s="42" t="s">
        <v>237</v>
      </c>
      <c r="D3" s="42" t="s">
        <v>181</v>
      </c>
      <c r="E3" s="42" t="s">
        <v>732</v>
      </c>
      <c r="F3" s="118" t="n">
        <v>0.25</v>
      </c>
      <c r="G3" s="118" t="n">
        <v>0.07</v>
      </c>
      <c r="H3" s="42" t="s">
        <v>733</v>
      </c>
      <c r="I3" s="42" t="s">
        <v>734</v>
      </c>
      <c r="J3" s="42" t="n">
        <v>2</v>
      </c>
    </row>
    <row r="4" customFormat="false" ht="15" hidden="false" customHeight="false" outlineLevel="0" collapsed="false">
      <c r="A4" s="42" t="s">
        <v>134</v>
      </c>
      <c r="F4" s="118" t="n">
        <v>0.3</v>
      </c>
      <c r="H4" s="42" t="s">
        <v>735</v>
      </c>
      <c r="I4" s="42" t="s">
        <v>736</v>
      </c>
      <c r="J4" s="42" t="n">
        <v>3</v>
      </c>
    </row>
    <row r="5" customFormat="false" ht="15" hidden="false" customHeight="false" outlineLevel="0" collapsed="false">
      <c r="A5" s="42" t="s">
        <v>308</v>
      </c>
      <c r="F5" s="118" t="n">
        <v>0.35</v>
      </c>
      <c r="H5" s="42" t="s">
        <v>737</v>
      </c>
      <c r="I5" s="42" t="s">
        <v>738</v>
      </c>
      <c r="J5" s="42" t="n">
        <v>4</v>
      </c>
    </row>
    <row r="6" customFormat="false" ht="15" hidden="false" customHeight="false" outlineLevel="0" collapsed="false">
      <c r="F6" s="118" t="n">
        <v>0.4</v>
      </c>
      <c r="I6" s="42" t="s">
        <v>739</v>
      </c>
      <c r="J6" s="42" t="n">
        <v>5</v>
      </c>
    </row>
    <row r="7" customFormat="false" ht="15" hidden="false" customHeight="false" outlineLevel="0" collapsed="false">
      <c r="F7" s="118" t="n">
        <v>0.45</v>
      </c>
    </row>
    <row r="8" customFormat="false" ht="15" hidden="false" customHeight="false" outlineLevel="0" collapsed="false">
      <c r="F8" s="118" t="n">
        <v>0.5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2026-09-19T05:05:52Z</dcterms:created>
  <dc:creator>openpyxl</dc:creator>
  <dc:description/>
  <dc:language>en-US</dc:language>
  <cp:lastModifiedBy/>
  <dcterms:modified xsi:type="dcterms:W3CDTF">2026-09-19T05:05:53Z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