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สิ่งที่แก้ในเวอร์ชัน2" sheetId="1" state="visible" r:id="rId3"/>
    <sheet name="1_สมมติฐานต้นทุน" sheetId="2" state="visible" r:id="rId4"/>
    <sheet name="2_ราคาแพ็คเกจ" sheetId="3" state="visible" r:id="rId5"/>
    <sheet name="3_คำนวณใบเสนอราคา" sheetId="4" state="visible" r:id="rId6"/>
    <sheet name="4_ทะเบียนลูกค้าและรอบPM" sheetId="5" state="visible" r:id="rId7"/>
    <sheet name="5_วิธีใช้" sheetId="6" state="visible" r:id="rId8"/>
    <sheet name="Z_LIST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<sst xmlns="http://schemas.openxmlformats.org/spreadsheetml/2006/main" count="386" uniqueCount="336">
  <si>
    <t xml:space="preserve">PM Pricing Tool  v2.1 — สรุปสิ่งที่แก้จากเวอร์ชัน 1</t>
  </si>
  <si>
    <t xml:space="preserve">จัดทำ 19-09-2026 | ไฟล์เดิมยังใช้งานได้ ไม่ถูกแก้ไข — ไฟล์นี้เป็นเวอร์ชันแยก</t>
  </si>
  <si>
    <t xml:space="preserve">1) ข้อผิดพลาดที่แก้ / BUG FIXES</t>
  </si>
  <si>
    <t xml:space="preserve">หัวข้อ</t>
  </si>
  <si>
    <t xml:space="preserve">ปัญหาในเวอร์ชัน 1</t>
  </si>
  <si>
    <t xml:space="preserve">วิธีแก้ในเวอร์ชัน 2</t>
  </si>
  <si>
    <t xml:space="preserve">ต้นทุนเครื่องอบไม่ถูกใช้</t>
  </si>
  <si>
    <t xml:space="preserve">สูตรต้นทุนแพ็คเกจ (ชีต 2 คอลัมน์ F) ใช้ 'ต้นทุนเฉลี่ยต่อเครื่อง' 325 บาทกับทั้งเครื่องซักและเครื่องอบ ทั้งที่ไฟล์เองระบุไว้ว่าเครื่องอบหนักกว่า 1.27 เท่า (413 บาท) → GM สูงเกินจริง 4-7 จุดทุกแพ็คเกจ</t>
  </si>
  <si>
    <t xml:space="preserve">แยกต้นทุนเครื่องซัก/เครื่องอบเป็นสองบรรทัด และสร้าง 'ต้นทุนต่อ 1 ชุดคู่ ต่อรอบ' (ชีต 1 แถว 33) ให้ทุกสูตรดึงไปใช้จุดเดียว</t>
  </si>
  <si>
    <t xml:space="preserve">GM ของดีลในชีต 3 สูงเกินจริง</t>
  </si>
  <si>
    <t xml:space="preserve">สูตร D32 นับทุกเครื่องเป็นเครื่องซัก และไม่นับต้นทุนเดินทางส่วนเกิน ทั้งที่เก็บเงินค่าเดินทางเป็นรายได้</t>
  </si>
  <si>
    <t xml:space="preserve">แยกบล็อกต้นทุนออกมา 6 บรรทัด ครบทั้งงาน PM เครื่องเดี่ยว เดินทาง ที่พัก งานซ่อมด่วน และท่อ Flex</t>
  </si>
  <si>
    <t xml:space="preserve">ขั้นส่วนลด 6 ชุดคู่ขึ้นไปขาดทุน</t>
  </si>
  <si>
    <t xml:space="preserve">ลด 25% พร้อมแถมรอบบริการฟรีอีก 1 รอบพร้อมกัน ทำให้ Care+ เหลือ 3,675 บาท เทียบต้นทุน 5 รอบ = 3,690 บาท และเวอร์ชัน 1 ไม่มีคอลัมน์ต้นทุน/GM ในตารางส่วนลดเลย จึงไม่มีอะไรเตือน</t>
  </si>
  <si>
    <t xml:space="preserve">เพิ่มคอลัมน์ GM ของทั้ง 3 แพ็คเกจในทุกขั้นส่วนลด พร้อมแถบสีแดงเมื่อติดลบ และคอลัมน์สถานะสรุปรายขั้น</t>
  </si>
  <si>
    <t xml:space="preserve">ค่าแรงซ่อมด่วนไม่มีต้นทุน</t>
  </si>
  <si>
    <t xml:space="preserve">Care Pro ให้ฟรีไม่จำกัด แต่ตั้งเผื่อไว้เพียง 1,000 บาทซึ่งระบุว่าเป็นค่าท่อ Flex | Care+ เก็บ 750 บาท/ครั้ง ซึ่งต่ำกว่าต้นทุนจริงต่อครั้ง</t>
  </si>
  <si>
    <t xml:space="preserve">เพิ่มสมมติฐาน 'ต้นทุนงานซ่อมด่วนต่อครั้ง' และ 'จำนวนครั้งเฉลี่ยต่อปี' แยกจากค่าท่อ Flex พร้อมตารางตรวจกำไรต่อครั้งของทั้ง 3 แพ็คเกจ (ชีต 2 แถว 13-15)</t>
  </si>
  <si>
    <t xml:space="preserve">ชีต 4 ไม่มีคอลัมน์สถานะ</t>
  </si>
  <si>
    <t xml:space="preserve">คู่มือในชีต 5 เขียนว่า 'คอลัมน์สถานะจะเตือนเมื่อใกล้ถึงกำหนดหรือเกินกำหนด' แต่ในไฟล์ไม่มีคอลัมน์นั้น และสูตรรอบคงเหลือไม่ได้นับรอบฟรีของลูกค้า 6 ชุดคู่ขึ้นไป</t>
  </si>
  <si>
    <t xml:space="preserve">เพิ่มคอลัมน์ รอบตามสัญญา / รอบ 5 (ฟรี) / วันคงเหลือ / สถานะ พร้อมแถบสีแดง-เหลือง-เขียวอัตโนมัติ</t>
  </si>
  <si>
    <t xml:space="preserve">2) ความสามารถที่เพิ่มเข้ามา / NEW</t>
  </si>
  <si>
    <t xml:space="preserve">ราคาขั้นต่ำอัตโนมัติ</t>
  </si>
  <si>
    <t xml:space="preserve">เวอร์ชัน 1 บอกได้แค่ผ่าน/ไม่ผ่านเกณฑ์</t>
  </si>
  <si>
    <t xml:space="preserve">ชีต 2 คอลัมน์ I และชีต 3 แถว 43 คำนวณราคาขั้นต่ำที่ยังได้ GM ตามเป้าให้ทันที (ปัดขึ้นทีละ 50/100 บาท)</t>
  </si>
  <si>
    <t xml:space="preserve">เพดานส่วนลดขณะต่อรอง</t>
  </si>
  <si>
    <t xml:space="preserve">ต้องลองปรับตัวเลขไปมาเอง</t>
  </si>
  <si>
    <t xml:space="preserve">ชีต 3 แถว 44 บอกเปอร์เซ็นต์ส่วนลดสูงสุดที่ให้ได้โดยไม่หลุดเป้า GM</t>
  </si>
  <si>
    <t xml:space="preserve">เลือกฐานต้นทุนได้</t>
  </si>
  <si>
    <t xml:space="preserve">ใช้ค่าเฉลี่ยของสองกรณีเสมอ</t>
  </si>
  <si>
    <t xml:space="preserve">ชีต 1 แถว 23 เลือกได้ว่าจะใช้ค่าเฉลี่ย / งานกระจุกจุดเดียว / งาน Route หลายจุด — ร้านสะดวกซักที่มีหลายเครื่องในจุดเดียวควรใช้ 'งานกระจุกจุดเดียว'</t>
  </si>
  <si>
    <t xml:space="preserve">ตรวจ GM ของดีล 3 ปี</t>
  </si>
  <si>
    <t xml:space="preserve">คำนวณแค่ราคาและส่วนที่ประหยัด</t>
  </si>
  <si>
    <t xml:space="preserve">ชีต 3 แถว 49 แสดง GM ของดีลชำระล่วงหน้า 3 ปี พร้อมเตือนเรื่องต้นทุนที่จะขึ้นระหว่างสัญญา</t>
  </si>
  <si>
    <t xml:space="preserve">เลือกแพ็คเกจด้วยชื่อ</t>
  </si>
  <si>
    <t xml:space="preserve">ต้องพิมพ์เลข 1/2/3</t>
  </si>
  <si>
    <t xml:space="preserve">ชีต 3 และชีต 4 เลือกจาก dropdown เป็นชื่อแพ็คเกจโดยตรง</t>
  </si>
  <si>
    <t xml:space="preserve">3) การปรับเป้า Gross Margin ให้ตรงกับตลาด (v2.1)</t>
  </si>
  <si>
    <t xml:space="preserve">เดิมใช้เป้าเดียว 50%</t>
  </si>
  <si>
    <t xml:space="preserve">บอกได้แค่ผ่าน/ไม่ผ่าน ใช้ต่อรองจริงไม่ได้ และไม่มีแพ็กเกจไหนผ่านเลยแม้ลูกค้ารายเดียว ทำให้ทุกดีลขึ้นสถานะแดงจนคนใช้เลิกสนใจสัญญาณเตือน</t>
  </si>
  <si>
    <t xml:space="preserve">แยกเป็น 2 ระดับ: GM ขั้นต่ำที่ยอมรับได้ (Floor) 35% และ GM เป้าหมาย (Target) 45% สถานะจึงมี 3 ระดับ — ผ่านเป้าหมาย / รับได้ / ต่ำกว่าขั้นต่ำ</t>
  </si>
  <si>
    <t xml:space="preserve">ที่มาของตัวเลข 35-45%</t>
  </si>
  <si>
    <t xml:space="preserve">ต้องมีหลักฐานอ้างอิง ไม่ใช่ตั้งลอยๆ</t>
  </si>
  <si>
    <t xml:space="preserve">ราคาตลาด CODE CLEAN 600 บาท/เครื่อง/ครั้ง = 1,200 บาท/ชุดคู่/รอบ เทียบต้นทุนของเราต่อชุดคู่ ให้ GM ประมาณ 38% (ดูแถวล่างสุดของชีต 1) จึงตั้ง Floor ต่ำกว่าเล็กน้อยที่ 35% และ Target สูงกว่าตลาดพอสมควรที่ 45%</t>
  </si>
  <si>
    <t xml:space="preserve">เพิ่มราคา 2 ระดับทุกที่</t>
  </si>
  <si>
    <t xml:space="preserve">เวอร์ชัน 2.0 มีแค่ราคาขั้นต่ำเดียว</t>
  </si>
  <si>
    <t xml:space="preserve">ชีต 2 มีทั้ง 'ราคาขั้นต่ำ (Floor)' และ 'ราคาเป้าหมาย (Target)' | ชีต 3 บอกทั้งราคาที่ควรยื่นก่อนต่อรอง และเพดานล่างสุดที่ห้ามต่ำกว่า</t>
  </si>
  <si>
    <t xml:space="preserve">เพดานส่วนลดต่อแพ็กเกจ</t>
  </si>
  <si>
    <t xml:space="preserve">ตอบลูกค้าไม่ได้ทันทีว่าลดได้กี่เปอร์เซ็นต์</t>
  </si>
  <si>
    <t xml:space="preserve">ชีต 2 เพิ่มตาราง 'เพดานส่วนลดที่ยังผ่าน GM ขั้นต่ำ' ทั้งกรณีมีและไม่มีรอบบริการฟรี</t>
  </si>
  <si>
    <t xml:space="preserve">บันไดส่วนลดที่แนะนำ</t>
  </si>
  <si>
    <t xml:space="preserve">บันไดเดิม 10/20/25% + รอบฟรี ทำให้ขาดทุนตั้งแต่ขั้น 2 เป็นต้นไป</t>
  </si>
  <si>
    <t xml:space="preserve">เสนอบันไดใหม่ 0 / 5 / 10 / 12% และตัดรอบบริการฟรีออกทั้งหมด พร้อมตาราง GM ให้เทียบกับบันไดเดิมแบบเคียงข้างกัน</t>
  </si>
  <si>
    <t xml:space="preserve">4) สิ่งที่ยังต้องตัดสินใจ / TO DECIDE</t>
  </si>
  <si>
    <t xml:space="preserve">ขั้นส่วนลด 6 ชุดคู่ขึ้นไป</t>
  </si>
  <si>
    <t xml:space="preserve">ยังติดลบอยู่ตามตัวเลขปัจจุบัน</t>
  </si>
  <si>
    <t xml:space="preserve">ทางเลือก: (ก) ตัดรอบบริการฟรีออก (ข) ลดส่วนลดเหลือ 15% (ค) ขึ้นราคาป้าย Care+ — แก้ได้ที่ชีต 2 ตารางแถว 24-29</t>
  </si>
  <si>
    <t xml:space="preserve">ฐานต้นทุนที่ใช้กับลูกค้ารายใหญ่</t>
  </si>
  <si>
    <t xml:space="preserve">ตั้งไว้ที่ 'ค่าเฉลี่ย' ซึ่งเป็นค่ากลางระหว่างงานกระจุกกับงาน Route</t>
  </si>
  <si>
    <t xml:space="preserve">ร้านสะดวกซักที่มีเครื่อง 8-10 ตัวในจุดเดียวควรใช้ฐาน 'งานกระจุกจุดเดียว' (ต้นทุนชุดคู่ 681 แทน 738) ซึ่งทำให้ลดราคาได้มากขึ้นอย่างมีเหตุผล — ชีต 3 มีบรรทัดแนะนำให้อัตโนมัติตามจำนวนเครื่องที่กรอก</t>
  </si>
  <si>
    <t xml:space="preserve">จำนวนครั้งซ่อมด่วนเฉลี่ย</t>
  </si>
  <si>
    <t xml:space="preserve">ตั้งไว้ 2 ครั้ง/ปี/ชุดคู่ เป็นค่าประมาณ</t>
  </si>
  <si>
    <t xml:space="preserve">เก็บสถิติจริงจากงานที่ผ่านมา แล้วแก้ที่ชีต 1 แถว 20 — ตัวเลขนี้กระทบ GM ของ Care Pro มากที่สุด</t>
  </si>
  <si>
    <t xml:space="preserve">สมมติฐานต้นทุนงาน PM — แก้ตัวเลขในช่องสีเหลืองเท่านั้น</t>
  </si>
  <si>
    <t xml:space="preserve">ช่องสีเหลือง = ช่องกรอกข้อมูล (ตัวอักษรสีน้ำเงิน) | ช่องอื่นเป็นสูตรคำนวณ ห้ามแก้</t>
  </si>
  <si>
    <t xml:space="preserve">รายการ</t>
  </si>
  <si>
    <t xml:space="preserve">ค่า</t>
  </si>
  <si>
    <t xml:space="preserve">หน่วย</t>
  </si>
  <si>
    <t xml:space="preserve">หมายเหตุ / ที่มาของตัวเลข</t>
  </si>
  <si>
    <t xml:space="preserve">ค่าแรงช่างหลัก ต่อวัน</t>
  </si>
  <si>
    <t xml:space="preserve">บาท/วัน</t>
  </si>
  <si>
    <t xml:space="preserve">ตัวเลขจากผู้ใช้ — ปรับตามค่าจ้างจริงในพื้นที่</t>
  </si>
  <si>
    <t xml:space="preserve">ค่าแรงผู้ช่วยช่าง ต่อวัน</t>
  </si>
  <si>
    <t xml:space="preserve">ตัวเลขจากผู้ใช้</t>
  </si>
  <si>
    <t xml:space="preserve">ค่ารถ + น้ำมัน + ทางด่วน ต่อวัน</t>
  </si>
  <si>
    <t xml:space="preserve">ตัวเลขจากผู้ใช้ — งานในเขตเมือง</t>
  </si>
  <si>
    <t xml:space="preserve">วัสดุสิ้นเปลือง ต่อเครื่อง</t>
  </si>
  <si>
    <t xml:space="preserve">บาท/เครื่อง</t>
  </si>
  <si>
    <t xml:space="preserve">น้ำยาล้าง ผ้า จารบี ซิลิโคน เทป foil ถุงมือ</t>
  </si>
  <si>
    <t xml:space="preserve">จำนวนเครื่องที่ทำได้ ต่อวัน (งานกระจุกจุดเดียว)</t>
  </si>
  <si>
    <t xml:space="preserve">เครื่อง/วัน</t>
  </si>
  <si>
    <t xml:space="preserve">เครื่องซัก 45-60 นาที / เครื่องอบ 60-75 นาที</t>
  </si>
  <si>
    <t xml:space="preserve">จำนวนเครื่องที่ทำได้ ต่อวัน (งาน Route หลายจุด)</t>
  </si>
  <si>
    <t xml:space="preserve">เสียเวลาเดินทางระหว่างจุด</t>
  </si>
  <si>
    <t xml:space="preserve">ค่าเดินทางส่วนเกิน (ราคาที่เรียกเก็บ)</t>
  </si>
  <si>
    <t xml:space="preserve">บาท/กม.</t>
  </si>
  <si>
    <t xml:space="preserve">คิดเฉพาะขาไป | เบนช์มาร์กตลาด SPINZ = 10 บาท/กม.</t>
  </si>
  <si>
    <t xml:space="preserve">ค่าที่พักกรณีค้างคืน</t>
  </si>
  <si>
    <t xml:space="preserve">บาท/คืน/ทีม</t>
  </si>
  <si>
    <t xml:space="preserve">ค่าเดินทางเสียเที่ยว (ลูกค้าไม่พร้อมให้เข้างาน)</t>
  </si>
  <si>
    <t xml:space="preserve">บาท/ครั้ง</t>
  </si>
  <si>
    <t xml:space="preserve">ตามเงื่อนไขในใบเสนอราคาข้อ 5</t>
  </si>
  <si>
    <t xml:space="preserve">★ ★ GM ขั้นต่ำที่ยอมรับได้ (Floor)</t>
  </si>
  <si>
    <t xml:space="preserve">%</t>
  </si>
  <si>
    <t xml:space="preserve">ต่ำกว่านี้ไม่ควรรับงาน หรือต้องขออนุมัติพิเศษ — อ้างอิงราคาตลาด CODE CLEAN 600 บาท/เครื่อง/ครั้ง ซึ่งให้ GM ราว 38% บนโครงสร้างต้นทุนชุดนี้ (ดูแถวล่างสุดของชีต)</t>
  </si>
  <si>
    <t xml:space="preserve">★ ★ GM เป้าหมายที่ต้องการ (Target)</t>
  </si>
  <si>
    <t xml:space="preserve">ระดับที่ราคาป้ายควรอยู่ เพื่อเหลือรองรับ overhead และกำไร — เดิมตั้งไว้ 50% ซึ่งสูงกว่าที่ตลาดจ่ายจริง</t>
  </si>
  <si>
    <t xml:space="preserve">★ สมมติฐานที่เพิ่มในเวอร์ชัน 2 — จำเป็นต่อการคิดต้นทุนให้ครบ</t>
  </si>
  <si>
    <t xml:space="preserve">★ ตัวคูณต้นทุนเครื่องอบ (เทียบเครื่องซัก)</t>
  </si>
  <si>
    <t xml:space="preserve">เท่า</t>
  </si>
  <si>
    <t xml:space="preserve">เดิมค่านี้ถูกฝังไว้ในสูตร F12 เท่านั้น ทำให้ต้นทุนแพ็กเกจคิดเครื่องอบเท่าเครื่องซัก — งานอบหนักกว่าเพราะต้องถอดล้างท่อลมร้อนและตรวจระบบแก๊ส</t>
  </si>
  <si>
    <t xml:space="preserve">★ ต้นทุนงานซ่อมด่วน (Corrective) ต่อครั้ง</t>
  </si>
  <si>
    <t xml:space="preserve">ประมาณ 1/3 วันทำงาน + วัสดุ — ใช้คิดต้นทุนของ Care Pro ที่ให้ฟรีไม่จำกัด</t>
  </si>
  <si>
    <t xml:space="preserve">★ จำนวนครั้ง Corrective เฉลี่ย ต่อปี ต่อชุดคู่</t>
  </si>
  <si>
    <t xml:space="preserve">ครั้ง/ปี</t>
  </si>
  <si>
    <t xml:space="preserve">ปรับตามสถิติจริง — ตัวเลขนี้คือความเสี่ยงหลักของแพ็กเกจ Care Pro</t>
  </si>
  <si>
    <t xml:space="preserve">★ ต้นทุนท่อ Flex ลมร้อน 4 นิ้ว ต่อเส้น</t>
  </si>
  <si>
    <t xml:space="preserve">บาท/เส้น</t>
  </si>
  <si>
    <t xml:space="preserve">Care Pro ให้ฟรีปีละ 1 เส้นต่อเครื่องอบ 1 เครื่อง</t>
  </si>
  <si>
    <t xml:space="preserve">★ ต้นทุนเดินทางส่วนเกินจริง</t>
  </si>
  <si>
    <t xml:space="preserve">ค่าน้ำมัน + สึกหรอจริง — เดิมไม่ถูกนับเป็นต้นทุนในชีต 3 ทำให้ GM สูงเกินจริง</t>
  </si>
  <si>
    <t xml:space="preserve">★ ฐานต้นทุนที่ใช้ตั้งราคา</t>
  </si>
  <si>
    <t xml:space="preserve">ค่าเฉลี่ย (แนะนำ)</t>
  </si>
  <si>
    <t xml:space="preserve">เลือก</t>
  </si>
  <si>
    <t xml:space="preserve">งานกระจุกจุดเดียว = ร้านสะดวกซักที่มีเครื่องหลายตัวในจุดเดียว | Route = งานกระจายหลายจุด</t>
  </si>
  <si>
    <t xml:space="preserve">ต้นทุนที่คำนวณได้ / Calculated cost</t>
  </si>
  <si>
    <t xml:space="preserve">สูตร</t>
  </si>
  <si>
    <t xml:space="preserve">ต้นทุนค่าแรง+รถ ต่อวัน</t>
  </si>
  <si>
    <t xml:space="preserve">ช่างหลัก + ผู้ช่วย + ค่ารถ</t>
  </si>
  <si>
    <t xml:space="preserve">ต้นทุนต่อเครื่อง — งานกระจุกจุดเดียว</t>
  </si>
  <si>
    <t xml:space="preserve">ต้นทุนต่อวัน ÷ เครื่องต่อวัน + วัสดุ</t>
  </si>
  <si>
    <t xml:space="preserve">ต้นทุนต่อเครื่อง — งาน Route หลายจุด</t>
  </si>
  <si>
    <t xml:space="preserve">ต้นทุนเฉลี่ยของสองกรณี</t>
  </si>
  <si>
    <t xml:space="preserve">ค่าเฉลี่ย</t>
  </si>
  <si>
    <t xml:space="preserve">ต้นทุนต่อเครื่องซัก (ที่ใช้ตั้งราคา)</t>
  </si>
  <si>
    <t xml:space="preserve">บาท/เครื่อง/รอบ</t>
  </si>
  <si>
    <t xml:space="preserve">ตามฐานต้นทุนที่เลือกไว้ด้านบน</t>
  </si>
  <si>
    <t xml:space="preserve">★ ต้นทุนต่อเครื่องอบ (ที่ใช้ตั้งราคา)</t>
  </si>
  <si>
    <t xml:space="preserve">ต้นทุนเครื่องซัก x ตัวคูณเครื่องอบ</t>
  </si>
  <si>
    <t xml:space="preserve">★ ต้นทุนต่อ 1 ชุดคู่ ต่อรอบ PM</t>
  </si>
  <si>
    <t xml:space="preserve">บาท/ชุดคู่/รอบ</t>
  </si>
  <si>
    <t xml:space="preserve">ตัวเลขหลักที่ชีต 2 และ 3 ใช้คิดต้นทุนทั้งหมด</t>
  </si>
  <si>
    <t xml:space="preserve">ราคาตลาดอ้างอิง (เก็บไว้เทียบ ไม่เชื่อมกับสูตร)</t>
  </si>
  <si>
    <t xml:space="preserve">ผู้ให้บริการ</t>
  </si>
  <si>
    <t xml:space="preserve">ราคา</t>
  </si>
  <si>
    <t xml:space="preserve">ที่มา</t>
  </si>
  <si>
    <t xml:space="preserve">CODE CLEAN — PM ตามรอบ</t>
  </si>
  <si>
    <t xml:space="preserve">บาท/เครื่อง/ครั้ง</t>
  </si>
  <si>
    <t xml:space="preserve">code-clean.com/services/preventive-maintenance (ขั้นต่ำ 4,800 บาท/ครั้ง)</t>
  </si>
  <si>
    <t xml:space="preserve">CODE CLEAN — ซ่อมเมื่อเสีย เครื่องแรก</t>
  </si>
  <si>
    <t xml:space="preserve">ไม่รวมอะไหล่</t>
  </si>
  <si>
    <t xml:space="preserve">CODE CLEAN — ซ่อมเมื่อเสีย เครื่องที่ 2 ขึ้นไป</t>
  </si>
  <si>
    <t xml:space="preserve">CODE CLEAN — ค่าเดินทางส่วนเกิน</t>
  </si>
  <si>
    <t xml:space="preserve">ฟรี 50 กม.แรก คิดเฉพาะขาไป จาก hub 4 จังหวัด</t>
  </si>
  <si>
    <t xml:space="preserve">ข้อควรระวัง: ราคาตลาดอ้างอิงเป็นข้อมูล ณ วันที่จัดทำ ควรตรวจสอบใหม่ก่อนใช้อ้างอิงกับลูกค้า</t>
  </si>
  <si>
    <t xml:space="preserve">★ GM ที่ได้ถ้าตั้งราคาเท่าราคาตลาด (CODE CLEAN)</t>
  </si>
  <si>
    <t xml:space="preserve">ราคาตลาด 600 บาท/เครื่อง/ครั้ง = 1,200 บาท/ชุดคู่/รอบ เทียบต้นทุนต่อชุดคู่ของเรา — ใช้เป็นหลักฐานว่าเป้า GM ที่ตั้งไว้สมเหตุสมผลกับตลาดหรือไม่</t>
  </si>
  <si>
    <t xml:space="preserve">โครงสร้างราคาแพ็คเกจ และการตรวจสอบ Gross Margin</t>
  </si>
  <si>
    <t xml:space="preserve">แก้ราคาขายในคอลัมน์ B (สีเหลือง) แล้วดู GM ในคอลัมน์ G — คอลัมน์ I บอกราคาขั้นต่ำที่ยังได้ GM ตามเป้า</t>
  </si>
  <si>
    <t xml:space="preserve">แพ็คเกจ (ต่อ 1 ชุดคู่ ต่อปี)</t>
  </si>
  <si>
    <t xml:space="preserve">ราคาขาย/ปี</t>
  </si>
  <si>
    <t xml:space="preserve">รอบ PM/ปี</t>
  </si>
  <si>
    <t xml:space="preserve">ต้นทุนงาน PM</t>
  </si>
  <si>
    <t xml:space="preserve">★ ต้นทุนบริการที่แถมฟรี</t>
  </si>
  <si>
    <t xml:space="preserve">ต้นทุนรวม</t>
  </si>
  <si>
    <t xml:space="preserve">Gross Margin</t>
  </si>
  <si>
    <t xml:space="preserve">สถานะเทียบเป้า</t>
  </si>
  <si>
    <t xml:space="preserve">★ ราคาขั้นต่ำ (Floor)</t>
  </si>
  <si>
    <t xml:space="preserve">★ ราคาเป้าหมาย (Target)</t>
  </si>
  <si>
    <t xml:space="preserve">หมายเหตุ</t>
  </si>
  <si>
    <t xml:space="preserve">Care — 2 รอบ/ปี</t>
  </si>
  <si>
    <t xml:space="preserve">PM ทุก 6 เดือน · ถอดล้างท่อลมร้อนปีละ 1 · ตอบสนอง 72 ชม. · ค่าแรงซ่อมด่วนเก็บ 1,500/ครั้ง</t>
  </si>
  <si>
    <t xml:space="preserve">Care+ — 4 รอบ/ปี</t>
  </si>
  <si>
    <t xml:space="preserve">PM ทุก 3 เดือน · ถอดล้างท่อปีละ 2 · ตอบสนอง 48 ชม. · ค่าแรงซ่อมด่วนลด 50% เหลือ 750/ครั้ง</t>
  </si>
  <si>
    <t xml:space="preserve">Care Pro — 4 รอบ/ปี</t>
  </si>
  <si>
    <t xml:space="preserve">ตอบสนอง 24 ชม. · ถอดล้างทุกรอบ · ★ ฟรีค่าแรงซ่อมไม่จำกัด + ท่อ Flex ปีละ 1 เส้น = ต้นทุนแฝงที่ต้องตั้งเผื่อ</t>
  </si>
  <si>
    <t xml:space="preserve">ราคาขั้นต่ำปัดขึ้นทีละ 50 บาท | ต้นทุนงาน PM = รอบต่อปี x ต้นทุนต่อชุดคู่ต่อรอบ (ชีต 1 แถว 33)</t>
  </si>
  <si>
    <t xml:space="preserve">★ ตรวจสอบงานซ่อมด่วน (Corrective) — คิดแยกจากแพ็คเกจ</t>
  </si>
  <si>
    <t xml:space="preserve">เรียกเก็บ/ครั้ง</t>
  </si>
  <si>
    <t xml:space="preserve">ต้นทุน/ครั้ง</t>
  </si>
  <si>
    <t xml:space="preserve">กำไร/ครั้ง</t>
  </si>
  <si>
    <t xml:space="preserve">GM</t>
  </si>
  <si>
    <t xml:space="preserve">Care — เก็บเต็ม</t>
  </si>
  <si>
    <t xml:space="preserve">ราคาตามใบเสนอราคา</t>
  </si>
  <si>
    <t xml:space="preserve">Care+ — ลด 50%</t>
  </si>
  <si>
    <t xml:space="preserve">★ ราคาลด 50% ต่ำกว่าต้นทุนต่อครั้ง — ยิ่งลูกค้าเรียกมาก ยิ่งขาดทุน</t>
  </si>
  <si>
    <t xml:space="preserve">Care Pro — ฟรีไม่จำกัด</t>
  </si>
  <si>
    <t xml:space="preserve">ต้นทุนถูกตั้งเผื่อไว้ในคอลัมน์ E ของตารางด้านบนแล้ว</t>
  </si>
  <si>
    <t xml:space="preserve">ราคางาน PM แบบครั้งเดียว (Single PM)</t>
  </si>
  <si>
    <t xml:space="preserve">ราคาขาย</t>
  </si>
  <si>
    <t xml:space="preserve">ต้นทุน</t>
  </si>
  <si>
    <t xml:space="preserve">สถานะ</t>
  </si>
  <si>
    <t xml:space="preserve">ราคาขั้นต่ำ</t>
  </si>
  <si>
    <t xml:space="preserve">เครื่องซัก 18 kg</t>
  </si>
  <si>
    <t xml:space="preserve">งานมาตรฐาน</t>
  </si>
  <si>
    <t xml:space="preserve">เครื่องอบ 14 kg</t>
  </si>
  <si>
    <t xml:space="preserve">หนักกว่าเพราะต้องถอดล้างท่อลมร้อนและตรวจระบบแก๊ส</t>
  </si>
  <si>
    <t xml:space="preserve">★ ส่วนลดตามจำนวนชุดคู่ — พร้อมต้นทุนและ GM ของทุกขั้น (เวอร์ชัน 1 ไม่มีการตรวจส่วนนี้)</t>
  </si>
  <si>
    <t xml:space="preserve">จำนวนชุดคู่</t>
  </si>
  <si>
    <t xml:space="preserve">ส่วนลด</t>
  </si>
  <si>
    <t xml:space="preserve">รอบฟรีเพิ่ม</t>
  </si>
  <si>
    <t xml:space="preserve">Care ราคา/ชุด</t>
  </si>
  <si>
    <t xml:space="preserve">Care GM</t>
  </si>
  <si>
    <t xml:space="preserve">Care+ ราคา/ชุด</t>
  </si>
  <si>
    <t xml:space="preserve">Care+ GM</t>
  </si>
  <si>
    <t xml:space="preserve">Care Pro ราคา/ชุด</t>
  </si>
  <si>
    <t xml:space="preserve">Care Pro GM</t>
  </si>
  <si>
    <t xml:space="preserve">สถานะขั้นนี้</t>
  </si>
  <si>
    <t xml:space="preserve">หมายเหตุ: ขั้น 6 ชุดคู่ขึ้นไปในเงื่อนไขเดิมให้ทั้งส่วนลด 25% และรอบบริการฟรีอีก 1 รอบพร้อมกัน ซึ่งเป็นจุดที่ GM ติดลบ — ทางเลือกคือตัดรอบฟรีออก หรือลดส่วนลดเหลือ 15%</t>
  </si>
  <si>
    <t xml:space="preserve">★ เพดานส่วนลดที่ยังผ่าน GM ขั้นต่ำ — ใช้ตอบทันทีเวลาลูกค้าขอลดราคา</t>
  </si>
  <si>
    <t xml:space="preserve">แพ็คเกจ</t>
  </si>
  <si>
    <t xml:space="preserve">ราคาป้าย</t>
  </si>
  <si>
    <t xml:space="preserve">ต้นทุน (รอบปกติ)</t>
  </si>
  <si>
    <t xml:space="preserve">เพดานส่วนลด</t>
  </si>
  <si>
    <t xml:space="preserve">ต้นทุน (+รอบฟรี 1 รอบ)</t>
  </si>
  <si>
    <t xml:space="preserve">เพดานส่วนลดถ้าแถมรอบฟรี</t>
  </si>
  <si>
    <t xml:space="preserve">0% = ลดไม่ได้เลยที่ GM ขั้นต่ำปัจจุบัน</t>
  </si>
  <si>
    <t xml:space="preserve">เพดานนี้คิดจากฐานต้นทุนที่เลือกไว้ในชีต 1 — ลูกค้าหลายชุดคู่ในจุดเดียวควรเลือกฐาน 'งานกระจุกจุดเดียว' ซึ่งต้นทุนต่ำกว่า ทำให้ลดราคาได้มากขึ้นอย่างมีเหตุผล</t>
  </si>
  <si>
    <t xml:space="preserve">★ บันไดส่วนลดที่แนะนำ (ทางเลือกแทนบันไดเดิมที่ทำให้ขาดทุน)</t>
  </si>
  <si>
    <t xml:space="preserve">ส่วนลดที่แนะนำ</t>
  </si>
  <si>
    <t xml:space="preserve">1</t>
  </si>
  <si>
    <t xml:space="preserve">2-3</t>
  </si>
  <si>
    <t xml:space="preserve">4-5</t>
  </si>
  <si>
    <t xml:space="preserve">6 ขึ้นไป</t>
  </si>
  <si>
    <t xml:space="preserve">ข้อเสนอนี้ตัดรอบบริการฟรีออกทั้งหมด และจำกัดส่วนลดสูงสุดที่ 12% — ถ้าต้องการให้ของแถมกับลูกค้ารายใหญ่ ควรเป็นสิ่งที่ต้นทุนต่ำ เช่น ยกระดับเวลาตอบสนอง หรือฟรี Single PM ให้เครื่องเสริม แทนการเพิ่มรอบ PM ซึ่งเป็นต้นทุนเต็มจำนวน</t>
  </si>
  <si>
    <t xml:space="preserve">ตัวเลข GM ด้านบนคิดบนฐานต้นทุนที่เลือกไว้ในชีต 1 — ถ้าเปลี่ยนเป็นฐาน 'งานกระจุกจุดเดียว' (ซึ่งตรงกับลักษณะงานร้านสะดวกซักที่มีเครื่องหลายตัวในจุดเดียว) ทุกขั้นของบันไดนี้จะผ่าน GM ขั้นต่ำ สำหรับ Care และ Care+</t>
  </si>
  <si>
    <t xml:space="preserve">ตัวคำนวณใบเสนอราคา PM รายลูกค้า</t>
  </si>
  <si>
    <t xml:space="preserve">กรอกเฉพาะช่องสีเหลือง — ผลลัพธ์ด้านล่างนำไปกรอกในใบเสนอราคา PDF ได้ทันที</t>
  </si>
  <si>
    <t xml:space="preserve">ข้อมูลนำเข้า</t>
  </si>
  <si>
    <t xml:space="preserve">ชื่อลูกค้า / อาคาร</t>
  </si>
  <si>
    <t xml:space="preserve">ลูกค้าตัวอย่าง</t>
  </si>
  <si>
    <t xml:space="preserve">จำนวนชุดคู่ (ซัก+อบ)</t>
  </si>
  <si>
    <t xml:space="preserve">จำนวนเครื่องซักเดี่ยว (ไม่จับคู่)</t>
  </si>
  <si>
    <t xml:space="preserve">จำนวนเครื่องอบเดี่ยว (ไม่จับคู่)</t>
  </si>
  <si>
    <t xml:space="preserve">แพ็คเกจที่เลือก</t>
  </si>
  <si>
    <t xml:space="preserve">Care+</t>
  </si>
  <si>
    <t xml:space="preserve">เลือกจากรายการ</t>
  </si>
  <si>
    <t xml:space="preserve">ระยะทางจากฐานทีมช่าง (กม.)</t>
  </si>
  <si>
    <t xml:space="preserve">ฟรีในรัศมี 30 กม.</t>
  </si>
  <si>
    <t xml:space="preserve">จำนวนคืนที่ต้องค้างแรม</t>
  </si>
  <si>
    <t xml:space="preserve">อยู่ในรอบ Route ประจำโซน?</t>
  </si>
  <si>
    <t xml:space="preserve">ไม่ใช่</t>
  </si>
  <si>
    <t xml:space="preserve">ถ้าใช่ = ยกเว้นค่าเดินทางส่วนเกิน</t>
  </si>
  <si>
    <t xml:space="preserve">ชำระล่วงหน้า 3 ปี?</t>
  </si>
  <si>
    <t xml:space="preserve">ลด 15% ตามข้อ 5.2 ของสัญญา</t>
  </si>
  <si>
    <t xml:space="preserve">★ จำนวนครั้งเรียกซ่อมด่วนที่คาดว่าจะเกิด/ปี</t>
  </si>
  <si>
    <t xml:space="preserve">ใช้คิดทั้งรายได้ (Care/Care+) และต้นทุน (ทุกแพ็คเกจ)</t>
  </si>
  <si>
    <t xml:space="preserve">รายได้ของดีลนี้ (ต่อปี)</t>
  </si>
  <si>
    <t xml:space="preserve">จำนวน</t>
  </si>
  <si>
    <t xml:space="preserve">ราคา/หน่วย</t>
  </si>
  <si>
    <t xml:space="preserve">จำนวนเงิน</t>
  </si>
  <si>
    <t xml:space="preserve">ค่าบริการรายปี — ชุดคู่</t>
  </si>
  <si>
    <t xml:space="preserve">ราคาต่อชุดคู่ต่อปี ดึงจากชีต 2 ตามแพ็คเกจที่เลือก</t>
  </si>
  <si>
    <t xml:space="preserve">ค่าบริการรายปี — เครื่องซักเดี่ยว</t>
  </si>
  <si>
    <t xml:space="preserve">ราคา Single PM เครื่องซัก x จำนวนรอบต่อปี</t>
  </si>
  <si>
    <t xml:space="preserve">ค่าบริการรายปี — เครื่องอบเดี่ยว</t>
  </si>
  <si>
    <t xml:space="preserve">ราคา Single PM เครื่องอบ x จำนวนรอบต่อปี</t>
  </si>
  <si>
    <t xml:space="preserve">รวมค่าบริการก่อนส่วนลด</t>
  </si>
  <si>
    <t xml:space="preserve">ส่วนลดตามจำนวนชุดคู่</t>
  </si>
  <si>
    <t xml:space="preserve">ดึงอัตราส่วนลดจากตารางขั้นบันไดในชีต 2</t>
  </si>
  <si>
    <t xml:space="preserve">ค่าเดินทางส่วนเกิน (เรียกเก็บ)</t>
  </si>
  <si>
    <t xml:space="preserve">กม.ส่วนเกิน x อัตรา x จำนวนรอบ (รวมรอบฟรี)</t>
  </si>
  <si>
    <t xml:space="preserve">ค่าที่พักค้างคืน (เรียกเก็บ)</t>
  </si>
  <si>
    <t xml:space="preserve">★ รายได้ค่าแรงซ่อมด่วน</t>
  </si>
  <si>
    <t xml:space="preserve">Care เก็บ 1,500 · Care+ เก็บ 750 · Care Pro ฟรี (= 0)</t>
  </si>
  <si>
    <t xml:space="preserve">ราคาสุทธิก่อน VAT (ต่อปี)</t>
  </si>
  <si>
    <t xml:space="preserve">ภาษีมูลค่าเพิ่ม 7%</t>
  </si>
  <si>
    <t xml:space="preserve">รวมทั้งสิ้น (ต่อปี)</t>
  </si>
  <si>
    <t xml:space="preserve">นำตัวเลขนี้ไปกรอกในใบเสนอราคา</t>
  </si>
  <si>
    <t xml:space="preserve">★ ต้นทุนของดีลนี้ (ต่อปี) — เวอร์ชัน 1 คิดเฉพาะงาน PM และคิดเครื่องอบเท่าเครื่องซัก</t>
  </si>
  <si>
    <t xml:space="preserve">ต้นทุน/หน่วย</t>
  </si>
  <si>
    <t xml:space="preserve">ต้นทุนงาน PM — ชุดคู่</t>
  </si>
  <si>
    <t xml:space="preserve">จำนวนชุดคู่ x (รอบตามแพ็คเกจ + รอบฟรี) x ต้นทุนต่อชุดคู่ต่อรอบ</t>
  </si>
  <si>
    <t xml:space="preserve">ต้นทุนงาน PM — เครื่องเดี่ยว</t>
  </si>
  <si>
    <t xml:space="preserve">แยกต้นทุนเครื่องซักและเครื่องอบตามจริง | รวมรอบฟรีที่แถมให้ (มีต้นทุนแต่ไม่มีรายได้)</t>
  </si>
  <si>
    <t xml:space="preserve">★ ต้นทุนเดินทางส่วนเกิน (จริง)</t>
  </si>
  <si>
    <t xml:space="preserve">ค่าน้ำมัน+สึกหรอจริง — เวอร์ชัน 1 ไม่ได้นับส่วนนี้</t>
  </si>
  <si>
    <t xml:space="preserve">ต้นทุนที่พักค้างคืน</t>
  </si>
  <si>
    <t xml:space="preserve">ส่งผ่านเท่าราคาที่เรียกเก็บ</t>
  </si>
  <si>
    <t xml:space="preserve">★ ต้นทุนงานซ่อมด่วน</t>
  </si>
  <si>
    <t xml:space="preserve">เกิดทุกแพ็คเกจ — Care Pro ไม่มีรายได้มาชดเชย</t>
  </si>
  <si>
    <t xml:space="preserve">★ ต้นทุนท่อ Flex (เฉพาะ Care Pro)</t>
  </si>
  <si>
    <t xml:space="preserve">รวมต้นทุนทั้งหมด</t>
  </si>
  <si>
    <t xml:space="preserve">ผลลัพธ์และเพดานการต่อรอง</t>
  </si>
  <si>
    <t xml:space="preserve">กำไรขั้นต้นเป็นตัวเงิน (ต่อปี)</t>
  </si>
  <si>
    <t xml:space="preserve">ราคาสุทธิก่อน VAT − ต้นทุนรวม</t>
  </si>
  <si>
    <t xml:space="preserve">Gross Margin ของดีลนี้</t>
  </si>
  <si>
    <t xml:space="preserve">สถานะเทียบเป้าหมาย</t>
  </si>
  <si>
    <t xml:space="preserve">★ ราคาขั้นต่ำที่ยังผ่าน GM ขั้นต่ำ (ก่อน VAT)</t>
  </si>
  <si>
    <t xml:space="preserve">เพดานล่างสุดของการต่อรอง — ห้ามเสนอต่ำกว่านี้</t>
  </si>
  <si>
    <t xml:space="preserve">★ ราคาที่ควรเสนอเพื่อให้ถึง GM เป้าหมาย (ก่อน VAT)</t>
  </si>
  <si>
    <t xml:space="preserve">ราคาตั้งต้นที่ควรยื่นก่อนเริ่มต่อรอง</t>
  </si>
  <si>
    <t xml:space="preserve">★ ส่วนลดสูงสุดที่ให้ได้โดยไม่หลุดขั้นต่ำ</t>
  </si>
  <si>
    <t xml:space="preserve">เทียบกับส่วนลดที่ให้อยู่ในแถว 21</t>
  </si>
  <si>
    <t xml:space="preserve">คำแนะนำฐานต้นทุนสำหรับดีลนี้</t>
  </si>
  <si>
    <t xml:space="preserve">ทางเลือก: ชำระล่วงหน้า 3 ปี (ลด 15% และตรึงราคาตลอดสัญญา)</t>
  </si>
  <si>
    <t xml:space="preserve">ราคา 3 ปี หลังส่วนลด 15% (ก่อน VAT)</t>
  </si>
  <si>
    <t xml:space="preserve">ใช้เมื่อลูกค้าตอบรับข้อเสนอตามข้อ 5.2 ของสัญญา</t>
  </si>
  <si>
    <t xml:space="preserve">ส่วนที่ลูกค้าประหยัดได้เทียบจ่ายรายปี</t>
  </si>
  <si>
    <t xml:space="preserve">★ GM ของดีล 3 ปี (ต้นทุนคงที่)</t>
  </si>
  <si>
    <t xml:space="preserve">ยังไม่รวมเงินเฟ้อค่าแรง — ถ้าต้นทุนขึ้นปีละ 5% GM จริงจะต่ำกว่านี้อีกราว 3-4 จุด</t>
  </si>
  <si>
    <t xml:space="preserve">ทะเบียนสัญญา PM และตารางติดตามรอบเข้าปฏิบัติงาน</t>
  </si>
  <si>
    <t xml:space="preserve">1 บรรทัด = 1 สัญญา | กรอกวันที่เข้าจริงในคอลัมน์ J-N ระบบจะคำนวณรอบคงเหลือ วันครบกำหนดถัดไป และสถานะให้</t>
  </si>
  <si>
    <t xml:space="preserve">เลขที่สัญญา</t>
  </si>
  <si>
    <t xml:space="preserve">ชื่อลูกค้า/อาคาร</t>
  </si>
  <si>
    <t xml:space="preserve">จังหวัด/โซน</t>
  </si>
  <si>
    <t xml:space="preserve">จำนวนเครื่อง</t>
  </si>
  <si>
    <t xml:space="preserve">รอบตามสัญญา</t>
  </si>
  <si>
    <t xml:space="preserve">วันเริ่มสัญญา</t>
  </si>
  <si>
    <t xml:space="preserve">วันสิ้นสุดสัญญา</t>
  </si>
  <si>
    <t xml:space="preserve">รอบ 1</t>
  </si>
  <si>
    <t xml:space="preserve">รอบ 2</t>
  </si>
  <si>
    <t xml:space="preserve">รอบ 3</t>
  </si>
  <si>
    <t xml:space="preserve">รอบ 4</t>
  </si>
  <si>
    <t xml:space="preserve">★ รอบ 5 (ฟรี)</t>
  </si>
  <si>
    <t xml:space="preserve">รอบที่ทำแล้ว</t>
  </si>
  <si>
    <t xml:space="preserve">รอบคงเหลือ</t>
  </si>
  <si>
    <t xml:space="preserve">กำหนดรอบถัดไป</t>
  </si>
  <si>
    <t xml:space="preserve">★ วันคงเหลือ</t>
  </si>
  <si>
    <t xml:space="preserve">★ สถานะ</t>
  </si>
  <si>
    <t xml:space="preserve">PM-2569/001</t>
  </si>
  <si>
    <t xml:space="preserve">หอพักตัวอย่าง (แถวตัวอย่าง — ลบทิ้งได้)</t>
  </si>
  <si>
    <t xml:space="preserve">ภูเก็ต</t>
  </si>
  <si>
    <t xml:space="preserve">วิธีใช้ไฟล์นี้</t>
  </si>
  <si>
    <t xml:space="preserve">ชีต 1_สมมติฐานต้นทุน</t>
  </si>
  <si>
    <t xml:space="preserve">แก้ค่าแรงช่าง ค่ารถ วัสดุ และจำนวนเครื่องที่ทำได้ต่อวัน ให้ตรงกับทีมช่างจริง แล้วเลือกฐานต้นทุนที่ใช้ตั้งราคา ทุกชีตที่เหลือดึงต้นทุนจากที่นี่</t>
  </si>
  <si>
    <t xml:space="preserve">ชีต 2_ราคาแพ็คเกจ</t>
  </si>
  <si>
    <t xml:space="preserve">ปรับราคาขายในคอลัมน์ B แล้วดู GM ในคอลัมน์ G | คอลัมน์ I = ราคาขั้นต่ำ (Floor) คอลัมน์ J = ราคาเป้าหมาย (Target) | ด้านล่างมีตารางส่วนลดเดิม เพดานส่วนลด และบันไดส่วนลดที่แนะนำ ให้เทียบกันได้</t>
  </si>
  <si>
    <t xml:space="preserve">ชีต 3_คำนวณใบเสนอราคา</t>
  </si>
  <si>
    <t xml:space="preserve">กรอกข้อมูลลูกค้ารายราย ระบบคำนวณรายได้ ต้นทุน GM ราคาขั้นต่ำ และส่วนลดสูงสุดที่ให้ได้</t>
  </si>
  <si>
    <t xml:space="preserve">ชีต 4_ทะเบียนลูกค้าและรอบPM</t>
  </si>
  <si>
    <t xml:space="preserve">บันทึกสัญญาและวันที่เข้าปฏิบัติงานจริง คอลัมน์สถานะจะเปลี่ยนสีเมื่อใกล้ถึงกำหนดหรือเกินกำหนด</t>
  </si>
  <si>
    <t xml:space="preserve">สีของเซลล์</t>
  </si>
  <si>
    <t xml:space="preserve">ช่องสีเหลือง + ตัวอักษรสีน้ำเงิน = ช่องที่ต้องกรอกเอง | ตัวอักษรสีดำ = สูตรคำนวณ ห้ามพิมพ์ทับ | ★ = รายการที่เพิ่ม/แก้ไขในเวอร์ชัน 2</t>
  </si>
  <si>
    <t xml:space="preserve">การเพิ่มบรรทัดในชีต 4</t>
  </si>
  <si>
    <t xml:space="preserve">คัดลอกบรรทัดสุดท้ายลงมา เพื่อให้สูตรในคอลัมน์ F, G, I, O, P, Q, R, S ติดไปด้วย</t>
  </si>
  <si>
    <t xml:space="preserve">ข้อควรระวัง</t>
  </si>
  <si>
    <t xml:space="preserve">ราคาตลาดอ้างอิงในชีต 1 เป็นข้อมูล ณ วันที่จัดทำ ควรตรวจสอบใหม่ก่อนใช้อ้างอิงกับลูกค้า</t>
  </si>
  <si>
    <t xml:space="preserve">CostBasis</t>
  </si>
  <si>
    <t xml:space="preserve">Pack</t>
  </si>
  <si>
    <t xml:space="preserve">YesNo</t>
  </si>
  <si>
    <t xml:space="preserve">Care</t>
  </si>
  <si>
    <t xml:space="preserve">ใช่</t>
  </si>
  <si>
    <t xml:space="preserve">งานกระจุกจุดเดียว</t>
  </si>
  <si>
    <t xml:space="preserve">งาน Route หลายจุด</t>
  </si>
  <si>
    <t xml:space="preserve">Care Pro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</si>
</sst>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.00;\(#,##0.00\);\-"/>
    <numFmt numFmtId="167" formatCode="0.0%"/>
    <numFmt numFmtId="168" formatCode="0.00"/>
    <numFmt numFmtId="169" formatCode="#,##0.0;\(#,##0.0\);\-"/>
    <numFmt numFmtId="170" formatCode="yyyy\-mm\-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i val="true"/>
      <sz val="9"/>
      <color rgb="FF595959"/>
      <name val="Tahoma"/>
      <family val="0"/>
      <charset val="1"/>
    </font>
    <font>
      <b val="true"/>
      <sz val="12"/>
      <color rgb="FFFFFFFF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10"/>
      <color rgb="FFC00000"/>
      <name val="Tahoma"/>
      <family val="0"/>
      <charset val="1"/>
    </font>
    <font>
      <sz val="10"/>
      <color rgb="FF006100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14"/>
      <color rgb="FFFFFFFF"/>
      <name val="Tahoma"/>
      <family val="0"/>
      <charset val="1"/>
    </font>
    <font>
      <b val="true"/>
      <sz val="10"/>
      <color rgb="FF0000FF"/>
      <name val="Tahoma"/>
      <family val="0"/>
      <charset val="1"/>
    </font>
    <font>
      <sz val="9"/>
      <color rgb="FF595959"/>
      <name val="Tahoma"/>
      <family val="0"/>
      <charset val="1"/>
    </font>
    <font>
      <sz val="9"/>
      <color rgb="FFC00000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595959"/>
      <name val="Tahoma"/>
      <family val="0"/>
      <charset val="1"/>
    </font>
    <font>
      <i val="true"/>
      <sz val="9"/>
      <color rgb="FFC00000"/>
      <name val="Tahoma"/>
      <family val="0"/>
      <charset val="1"/>
    </font>
    <font>
      <sz val="10"/>
      <color rgb="FF008000"/>
      <name val="Tahoma"/>
      <family val="0"/>
      <charset val="1"/>
    </font>
    <font>
      <sz val="8"/>
      <color rgb="FFC00000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F3B52"/>
      </patternFill>
    </fill>
    <fill>
      <patternFill patternType="solid">
        <fgColor rgb="FFF2F2F2"/>
        <bgColor rgb="FFE2EFDA"/>
      </patternFill>
    </fill>
    <fill>
      <patternFill patternType="solid">
        <fgColor rgb="FF111111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2F3B52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Tahoma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Tahoma"/>
        <charset val="1"/>
        <family val="0"/>
        <b val="1"/>
        <color rgb="FF833C00"/>
      </font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610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C7CE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111111"/>
      <rgbColor rgb="FF404040"/>
      <rgbColor rgb="FF833C0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true"/>
  </sheetPr>
  <dimension ref="A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1.9" hidden="false" customHeight="false" outlineLevel="0" collapsed="false">
      <c r="A2" s="2" t="s">
        <v>1</v>
      </c>
      <c r="B2" s="2"/>
      <c r="C2" s="2"/>
    </row>
    <row r="4" customFormat="false" ht="21.7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51.75" hidden="false" customHeight="true" outlineLevel="0" collapsed="false">
      <c r="A6" s="5" t="s">
        <v>6</v>
      </c>
      <c r="B6" s="6" t="s">
        <v>7</v>
      </c>
      <c r="C6" s="7" t="s">
        <v>8</v>
      </c>
    </row>
    <row r="7" customFormat="false" ht="30" hidden="false" customHeight="true" outlineLevel="0" collapsed="false">
      <c r="A7" s="5" t="s">
        <v>9</v>
      </c>
      <c r="B7" s="6" t="s">
        <v>10</v>
      </c>
      <c r="C7" s="7" t="s">
        <v>11</v>
      </c>
    </row>
    <row r="8" customFormat="false" ht="51.75" hidden="false" customHeight="true" outlineLevel="0" collapsed="false">
      <c r="A8" s="5" t="s">
        <v>12</v>
      </c>
      <c r="B8" s="6" t="s">
        <v>13</v>
      </c>
      <c r="C8" s="7" t="s">
        <v>14</v>
      </c>
    </row>
    <row r="9" customFormat="false" ht="39" hidden="false" customHeight="true" outlineLevel="0" collapsed="false">
      <c r="A9" s="5" t="s">
        <v>15</v>
      </c>
      <c r="B9" s="6" t="s">
        <v>16</v>
      </c>
      <c r="C9" s="7" t="s">
        <v>17</v>
      </c>
    </row>
    <row r="10" customFormat="false" ht="39" hidden="false" customHeight="true" outlineLevel="0" collapsed="false">
      <c r="A10" s="5" t="s">
        <v>18</v>
      </c>
      <c r="B10" s="6" t="s">
        <v>19</v>
      </c>
      <c r="C10" s="7" t="s">
        <v>20</v>
      </c>
    </row>
    <row r="12" customFormat="false" ht="21.75" hidden="false" customHeight="true" outlineLevel="0" collapsed="false">
      <c r="A12" s="3" t="s">
        <v>21</v>
      </c>
      <c r="B12" s="3"/>
      <c r="C12" s="3"/>
    </row>
    <row r="13" customFormat="false" ht="30" hidden="false" customHeight="true" outlineLevel="0" collapsed="false">
      <c r="A13" s="5" t="s">
        <v>22</v>
      </c>
      <c r="B13" s="8" t="s">
        <v>23</v>
      </c>
      <c r="C13" s="7" t="s">
        <v>24</v>
      </c>
    </row>
    <row r="14" customFormat="false" ht="30" hidden="false" customHeight="true" outlineLevel="0" collapsed="false">
      <c r="A14" s="5" t="s">
        <v>25</v>
      </c>
      <c r="B14" s="8" t="s">
        <v>26</v>
      </c>
      <c r="C14" s="7" t="s">
        <v>27</v>
      </c>
    </row>
    <row r="15" customFormat="false" ht="39" hidden="false" customHeight="true" outlineLevel="0" collapsed="false">
      <c r="A15" s="5" t="s">
        <v>28</v>
      </c>
      <c r="B15" s="8" t="s">
        <v>29</v>
      </c>
      <c r="C15" s="7" t="s">
        <v>30</v>
      </c>
    </row>
    <row r="16" customFormat="false" ht="30" hidden="false" customHeight="true" outlineLevel="0" collapsed="false">
      <c r="A16" s="5" t="s">
        <v>31</v>
      </c>
      <c r="B16" s="8" t="s">
        <v>32</v>
      </c>
      <c r="C16" s="7" t="s">
        <v>33</v>
      </c>
    </row>
    <row r="17" customFormat="false" ht="30" hidden="false" customHeight="true" outlineLevel="0" collapsed="false">
      <c r="A17" s="5" t="s">
        <v>34</v>
      </c>
      <c r="B17" s="8" t="s">
        <v>35</v>
      </c>
      <c r="C17" s="7" t="s">
        <v>36</v>
      </c>
    </row>
    <row r="19" customFormat="false" ht="21.75" hidden="false" customHeight="true" outlineLevel="0" collapsed="false">
      <c r="A19" s="3" t="s">
        <v>37</v>
      </c>
      <c r="B19" s="3"/>
      <c r="C19" s="3"/>
    </row>
    <row r="20" customFormat="false" ht="39" hidden="false" customHeight="true" outlineLevel="0" collapsed="false">
      <c r="A20" s="5" t="s">
        <v>38</v>
      </c>
      <c r="B20" s="8" t="s">
        <v>39</v>
      </c>
      <c r="C20" s="7" t="s">
        <v>40</v>
      </c>
    </row>
    <row r="21" customFormat="false" ht="51.75" hidden="false" customHeight="true" outlineLevel="0" collapsed="false">
      <c r="A21" s="5" t="s">
        <v>41</v>
      </c>
      <c r="B21" s="8" t="s">
        <v>42</v>
      </c>
      <c r="C21" s="7" t="s">
        <v>43</v>
      </c>
    </row>
    <row r="22" customFormat="false" ht="39" hidden="false" customHeight="true" outlineLevel="0" collapsed="false">
      <c r="A22" s="5" t="s">
        <v>44</v>
      </c>
      <c r="B22" s="8" t="s">
        <v>45</v>
      </c>
      <c r="C22" s="7" t="s">
        <v>46</v>
      </c>
    </row>
    <row r="23" customFormat="false" ht="30" hidden="false" customHeight="true" outlineLevel="0" collapsed="false">
      <c r="A23" s="5" t="s">
        <v>47</v>
      </c>
      <c r="B23" s="8" t="s">
        <v>48</v>
      </c>
      <c r="C23" s="7" t="s">
        <v>49</v>
      </c>
    </row>
    <row r="24" customFormat="false" ht="30" hidden="false" customHeight="true" outlineLevel="0" collapsed="false">
      <c r="A24" s="5" t="s">
        <v>50</v>
      </c>
      <c r="B24" s="8" t="s">
        <v>51</v>
      </c>
      <c r="C24" s="7" t="s">
        <v>52</v>
      </c>
    </row>
    <row r="26" customFormat="false" ht="21.75" hidden="false" customHeight="true" outlineLevel="0" collapsed="false">
      <c r="A26" s="3" t="s">
        <v>53</v>
      </c>
      <c r="B26" s="3"/>
      <c r="C26" s="3"/>
    </row>
    <row r="27" customFormat="false" ht="30" hidden="false" customHeight="true" outlineLevel="0" collapsed="false">
      <c r="A27" s="5" t="s">
        <v>54</v>
      </c>
      <c r="B27" s="8" t="s">
        <v>55</v>
      </c>
      <c r="C27" s="7" t="s">
        <v>56</v>
      </c>
    </row>
    <row r="28" customFormat="false" ht="51.75" hidden="false" customHeight="true" outlineLevel="0" collapsed="false">
      <c r="A28" s="5" t="s">
        <v>57</v>
      </c>
      <c r="B28" s="8" t="s">
        <v>58</v>
      </c>
      <c r="C28" s="7" t="s">
        <v>59</v>
      </c>
    </row>
    <row r="29" customFormat="false" ht="30" hidden="false" customHeight="true" outlineLevel="0" collapsed="false">
      <c r="A29" s="5" t="s">
        <v>60</v>
      </c>
      <c r="B29" s="8" t="s">
        <v>61</v>
      </c>
      <c r="C29" s="7" t="s">
        <v>62</v>
      </c>
    </row>
  </sheetData>
  <mergeCells count="6">
    <mergeCell ref="A1:C1"/>
    <mergeCell ref="A2:C2"/>
    <mergeCell ref="A4:C4"/>
    <mergeCell ref="A12:C12"/>
    <mergeCell ref="A19:C19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25.5" hidden="false" customHeight="true" outlineLevel="0" collapsed="false">
      <c r="A1" s="9" t="s">
        <v>63</v>
      </c>
      <c r="B1" s="9"/>
      <c r="C1" s="9"/>
      <c r="D1" s="9"/>
    </row>
    <row r="2" customFormat="false" ht="15" hidden="false" customHeight="false" outlineLevel="0" collapsed="false">
      <c r="A2" s="10" t="s">
        <v>64</v>
      </c>
    </row>
    <row r="4" customFormat="false" ht="15" hidden="false" customHeight="false" outlineLevel="0" collapsed="false">
      <c r="A4" s="4" t="s">
        <v>65</v>
      </c>
      <c r="B4" s="4" t="s">
        <v>66</v>
      </c>
      <c r="C4" s="4" t="s">
        <v>67</v>
      </c>
      <c r="D4" s="4" t="s">
        <v>68</v>
      </c>
    </row>
    <row r="5" customFormat="false" ht="15" hidden="false" customHeight="false" outlineLevel="0" collapsed="false">
      <c r="A5" s="11" t="s">
        <v>69</v>
      </c>
      <c r="B5" s="12" t="n">
        <v>900</v>
      </c>
      <c r="C5" s="13" t="s">
        <v>70</v>
      </c>
      <c r="D5" s="14" t="s">
        <v>71</v>
      </c>
    </row>
    <row r="6" customFormat="false" ht="15" hidden="false" customHeight="false" outlineLevel="0" collapsed="false">
      <c r="A6" s="11" t="s">
        <v>72</v>
      </c>
      <c r="B6" s="12" t="n">
        <v>600</v>
      </c>
      <c r="C6" s="13" t="s">
        <v>70</v>
      </c>
      <c r="D6" s="14" t="s">
        <v>73</v>
      </c>
    </row>
    <row r="7" customFormat="false" ht="15" hidden="false" customHeight="false" outlineLevel="0" collapsed="false">
      <c r="A7" s="11" t="s">
        <v>74</v>
      </c>
      <c r="B7" s="12" t="n">
        <v>500</v>
      </c>
      <c r="C7" s="13" t="s">
        <v>70</v>
      </c>
      <c r="D7" s="14" t="s">
        <v>75</v>
      </c>
    </row>
    <row r="8" customFormat="false" ht="15" hidden="false" customHeight="false" outlineLevel="0" collapsed="false">
      <c r="A8" s="11" t="s">
        <v>76</v>
      </c>
      <c r="B8" s="12" t="n">
        <v>100</v>
      </c>
      <c r="C8" s="13" t="s">
        <v>77</v>
      </c>
      <c r="D8" s="14" t="s">
        <v>78</v>
      </c>
    </row>
    <row r="9" customFormat="false" ht="15" hidden="false" customHeight="false" outlineLevel="0" collapsed="false">
      <c r="A9" s="11" t="s">
        <v>79</v>
      </c>
      <c r="B9" s="12" t="n">
        <v>10</v>
      </c>
      <c r="C9" s="13" t="s">
        <v>80</v>
      </c>
      <c r="D9" s="14" t="s">
        <v>81</v>
      </c>
    </row>
    <row r="10" customFormat="false" ht="15" hidden="false" customHeight="false" outlineLevel="0" collapsed="false">
      <c r="A10" s="11" t="s">
        <v>82</v>
      </c>
      <c r="B10" s="12" t="n">
        <v>8</v>
      </c>
      <c r="C10" s="13" t="s">
        <v>80</v>
      </c>
      <c r="D10" s="14" t="s">
        <v>83</v>
      </c>
    </row>
    <row r="11" customFormat="false" ht="15" hidden="false" customHeight="false" outlineLevel="0" collapsed="false">
      <c r="A11" s="11" t="s">
        <v>84</v>
      </c>
      <c r="B11" s="15" t="n">
        <v>12</v>
      </c>
      <c r="C11" s="13" t="s">
        <v>85</v>
      </c>
      <c r="D11" s="14" t="s">
        <v>86</v>
      </c>
    </row>
    <row r="12" customFormat="false" ht="15" hidden="false" customHeight="false" outlineLevel="0" collapsed="false">
      <c r="A12" s="11" t="s">
        <v>87</v>
      </c>
      <c r="B12" s="12" t="n">
        <v>1200</v>
      </c>
      <c r="C12" s="13" t="s">
        <v>88</v>
      </c>
      <c r="D12" s="14" t="s">
        <v>73</v>
      </c>
    </row>
    <row r="13" customFormat="false" ht="15" hidden="false" customHeight="false" outlineLevel="0" collapsed="false">
      <c r="A13" s="11" t="s">
        <v>89</v>
      </c>
      <c r="B13" s="12" t="n">
        <v>800</v>
      </c>
      <c r="C13" s="13" t="s">
        <v>90</v>
      </c>
      <c r="D13" s="14" t="s">
        <v>91</v>
      </c>
    </row>
    <row r="14" customFormat="false" ht="22.35" hidden="false" customHeight="false" outlineLevel="0" collapsed="false">
      <c r="A14" s="16" t="s">
        <v>92</v>
      </c>
      <c r="B14" s="17" t="n">
        <v>0.35</v>
      </c>
      <c r="C14" s="13" t="s">
        <v>93</v>
      </c>
      <c r="D14" s="18" t="s">
        <v>94</v>
      </c>
    </row>
    <row r="15" customFormat="false" ht="15" hidden="false" customHeight="false" outlineLevel="0" collapsed="false">
      <c r="A15" s="16" t="s">
        <v>95</v>
      </c>
      <c r="B15" s="17" t="n">
        <v>0.45</v>
      </c>
      <c r="C15" s="13" t="s">
        <v>93</v>
      </c>
      <c r="D15" s="18" t="s">
        <v>96</v>
      </c>
    </row>
    <row r="17" customFormat="false" ht="19.5" hidden="false" customHeight="true" outlineLevel="0" collapsed="false">
      <c r="A17" s="19" t="s">
        <v>97</v>
      </c>
      <c r="B17" s="19"/>
      <c r="C17" s="19"/>
      <c r="D17" s="19"/>
      <c r="E17" s="20"/>
    </row>
    <row r="18" customFormat="false" ht="20.85" hidden="false" customHeight="false" outlineLevel="0" collapsed="false">
      <c r="A18" s="16" t="s">
        <v>98</v>
      </c>
      <c r="B18" s="21" t="n">
        <v>1.27</v>
      </c>
      <c r="C18" s="13" t="s">
        <v>99</v>
      </c>
      <c r="D18" s="18" t="s">
        <v>100</v>
      </c>
    </row>
    <row r="19" customFormat="false" ht="15" hidden="false" customHeight="false" outlineLevel="0" collapsed="false">
      <c r="A19" s="16" t="s">
        <v>101</v>
      </c>
      <c r="B19" s="12" t="n">
        <v>800</v>
      </c>
      <c r="C19" s="13" t="s">
        <v>90</v>
      </c>
      <c r="D19" s="18" t="s">
        <v>102</v>
      </c>
    </row>
    <row r="20" customFormat="false" ht="15" hidden="false" customHeight="false" outlineLevel="0" collapsed="false">
      <c r="A20" s="16" t="s">
        <v>103</v>
      </c>
      <c r="B20" s="22" t="n">
        <v>2</v>
      </c>
      <c r="C20" s="13" t="s">
        <v>104</v>
      </c>
      <c r="D20" s="18" t="s">
        <v>105</v>
      </c>
    </row>
    <row r="21" customFormat="false" ht="15" hidden="false" customHeight="false" outlineLevel="0" collapsed="false">
      <c r="A21" s="16" t="s">
        <v>106</v>
      </c>
      <c r="B21" s="12" t="n">
        <v>600</v>
      </c>
      <c r="C21" s="13" t="s">
        <v>107</v>
      </c>
      <c r="D21" s="18" t="s">
        <v>108</v>
      </c>
    </row>
    <row r="22" customFormat="false" ht="15" hidden="false" customHeight="false" outlineLevel="0" collapsed="false">
      <c r="A22" s="16" t="s">
        <v>109</v>
      </c>
      <c r="B22" s="15" t="n">
        <v>8</v>
      </c>
      <c r="C22" s="13" t="s">
        <v>85</v>
      </c>
      <c r="D22" s="18" t="s">
        <v>110</v>
      </c>
    </row>
    <row r="23" customFormat="false" ht="15" hidden="false" customHeight="false" outlineLevel="0" collapsed="false">
      <c r="A23" s="16" t="s">
        <v>111</v>
      </c>
      <c r="B23" s="23" t="s">
        <v>112</v>
      </c>
      <c r="C23" s="13" t="s">
        <v>113</v>
      </c>
      <c r="D23" s="18" t="s">
        <v>114</v>
      </c>
    </row>
    <row r="25" customFormat="false" ht="19.5" hidden="false" customHeight="true" outlineLevel="0" collapsed="false">
      <c r="A25" s="24" t="s">
        <v>115</v>
      </c>
      <c r="B25" s="24"/>
      <c r="C25" s="24"/>
      <c r="D25" s="24"/>
      <c r="E25" s="25"/>
      <c r="F25" s="25"/>
    </row>
    <row r="26" customFormat="false" ht="15" hidden="false" customHeight="false" outlineLevel="0" collapsed="false">
      <c r="A26" s="4" t="s">
        <v>65</v>
      </c>
      <c r="B26" s="4" t="s">
        <v>66</v>
      </c>
      <c r="C26" s="4" t="s">
        <v>67</v>
      </c>
      <c r="D26" s="4" t="s">
        <v>116</v>
      </c>
    </row>
    <row r="27" customFormat="false" ht="15" hidden="false" customHeight="false" outlineLevel="0" collapsed="false">
      <c r="A27" s="11" t="s">
        <v>117</v>
      </c>
      <c r="B27" s="26" t="n">
        <f aca="false">$B$5+$B$6+$B$7</f>
        <v>2000</v>
      </c>
      <c r="C27" s="13" t="s">
        <v>70</v>
      </c>
      <c r="D27" s="14" t="s">
        <v>118</v>
      </c>
    </row>
    <row r="28" customFormat="false" ht="15" hidden="false" customHeight="false" outlineLevel="0" collapsed="false">
      <c r="A28" s="11" t="s">
        <v>119</v>
      </c>
      <c r="B28" s="26" t="n">
        <f aca="false">ROUND($B$27/$B$9+$B$8,0)</f>
        <v>300</v>
      </c>
      <c r="C28" s="13" t="s">
        <v>77</v>
      </c>
      <c r="D28" s="14" t="s">
        <v>120</v>
      </c>
    </row>
    <row r="29" customFormat="false" ht="15" hidden="false" customHeight="false" outlineLevel="0" collapsed="false">
      <c r="A29" s="11" t="s">
        <v>121</v>
      </c>
      <c r="B29" s="26" t="n">
        <f aca="false">ROUND($B$27/$B$10+$B$8,0)</f>
        <v>350</v>
      </c>
      <c r="C29" s="13" t="s">
        <v>77</v>
      </c>
      <c r="D29" s="14" t="s">
        <v>120</v>
      </c>
    </row>
    <row r="30" customFormat="false" ht="15" hidden="false" customHeight="false" outlineLevel="0" collapsed="false">
      <c r="A30" s="11" t="s">
        <v>122</v>
      </c>
      <c r="B30" s="26" t="n">
        <f aca="false">ROUND(AVERAGE($B$28,$B$29),0)</f>
        <v>325</v>
      </c>
      <c r="C30" s="13" t="s">
        <v>77</v>
      </c>
      <c r="D30" s="14" t="s">
        <v>123</v>
      </c>
    </row>
    <row r="31" customFormat="false" ht="15" hidden="false" customHeight="false" outlineLevel="0" collapsed="false">
      <c r="A31" s="27" t="s">
        <v>124</v>
      </c>
      <c r="B31" s="28" t="n">
        <f aca="false">IF($B$23="งานกระจุกจุดเดียว",$B$28,IF($B$23="งาน Route หลายจุด",$B$29,$B$30))</f>
        <v>325</v>
      </c>
      <c r="C31" s="29" t="s">
        <v>125</v>
      </c>
      <c r="D31" s="30" t="s">
        <v>126</v>
      </c>
    </row>
    <row r="32" customFormat="false" ht="15" hidden="false" customHeight="false" outlineLevel="0" collapsed="false">
      <c r="A32" s="27" t="s">
        <v>127</v>
      </c>
      <c r="B32" s="28" t="n">
        <f aca="false">ROUND($B$31*$B$18,0)</f>
        <v>413</v>
      </c>
      <c r="C32" s="29" t="s">
        <v>125</v>
      </c>
      <c r="D32" s="30" t="s">
        <v>128</v>
      </c>
    </row>
    <row r="33" customFormat="false" ht="15" hidden="false" customHeight="false" outlineLevel="0" collapsed="false">
      <c r="A33" s="31" t="s">
        <v>129</v>
      </c>
      <c r="B33" s="32" t="n">
        <f aca="false">$B$31+$B$32</f>
        <v>738</v>
      </c>
      <c r="C33" s="33" t="s">
        <v>130</v>
      </c>
      <c r="D33" s="34" t="s">
        <v>131</v>
      </c>
    </row>
    <row r="35" customFormat="false" ht="19.5" hidden="false" customHeight="true" outlineLevel="0" collapsed="false">
      <c r="A35" s="24" t="s">
        <v>132</v>
      </c>
      <c r="B35" s="24"/>
      <c r="C35" s="24"/>
      <c r="D35" s="24"/>
      <c r="E35" s="25"/>
      <c r="F35" s="25"/>
      <c r="G35" s="25"/>
    </row>
    <row r="36" customFormat="false" ht="15" hidden="false" customHeight="false" outlineLevel="0" collapsed="false">
      <c r="A36" s="4" t="s">
        <v>133</v>
      </c>
      <c r="B36" s="4" t="s">
        <v>134</v>
      </c>
      <c r="C36" s="4" t="s">
        <v>67</v>
      </c>
      <c r="D36" s="4" t="s">
        <v>135</v>
      </c>
    </row>
    <row r="37" customFormat="false" ht="15" hidden="false" customHeight="false" outlineLevel="0" collapsed="false">
      <c r="A37" s="35" t="s">
        <v>136</v>
      </c>
      <c r="B37" s="12" t="n">
        <v>600</v>
      </c>
      <c r="C37" s="13" t="s">
        <v>137</v>
      </c>
      <c r="D37" s="36" t="s">
        <v>138</v>
      </c>
    </row>
    <row r="38" customFormat="false" ht="15" hidden="false" customHeight="false" outlineLevel="0" collapsed="false">
      <c r="A38" s="35" t="s">
        <v>139</v>
      </c>
      <c r="B38" s="12" t="n">
        <v>1500</v>
      </c>
      <c r="C38" s="13" t="s">
        <v>90</v>
      </c>
      <c r="D38" s="36" t="s">
        <v>140</v>
      </c>
    </row>
    <row r="39" customFormat="false" ht="15" hidden="false" customHeight="false" outlineLevel="0" collapsed="false">
      <c r="A39" s="35" t="s">
        <v>141</v>
      </c>
      <c r="B39" s="12" t="n">
        <v>1000</v>
      </c>
      <c r="C39" s="13" t="s">
        <v>90</v>
      </c>
      <c r="D39" s="36" t="s">
        <v>140</v>
      </c>
    </row>
    <row r="40" customFormat="false" ht="15" hidden="false" customHeight="false" outlineLevel="0" collapsed="false">
      <c r="A40" s="35" t="s">
        <v>142</v>
      </c>
      <c r="B40" s="12" t="n">
        <v>10</v>
      </c>
      <c r="C40" s="13" t="s">
        <v>85</v>
      </c>
      <c r="D40" s="36" t="s">
        <v>143</v>
      </c>
    </row>
    <row r="42" customFormat="false" ht="15" hidden="false" customHeight="false" outlineLevel="0" collapsed="false">
      <c r="A42" s="37" t="s">
        <v>144</v>
      </c>
    </row>
    <row r="44" customFormat="false" ht="20.85" hidden="false" customHeight="false" outlineLevel="0" collapsed="false">
      <c r="A44" s="27" t="s">
        <v>145</v>
      </c>
      <c r="B44" s="38" t="n">
        <f aca="false">IFERROR((B37*2-$B$33)/(B37*2),0)</f>
        <v>0.385</v>
      </c>
      <c r="C44" s="29" t="s">
        <v>93</v>
      </c>
      <c r="D44" s="30" t="s">
        <v>146</v>
      </c>
    </row>
  </sheetData>
  <mergeCells count="4">
    <mergeCell ref="A1:D1"/>
    <mergeCell ref="A17:D17"/>
    <mergeCell ref="A25:D25"/>
    <mergeCell ref="A35:D35"/>
  </mergeCells>
  <dataValidations count="1">
    <dataValidation allowBlank="true" errorStyle="stop" operator="between" showDropDown="false" showErrorMessage="false" showInputMessage="false" sqref="B23" type="list">
      <formula1>Z_LISTS!$A$2:$A$4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10" min="9" style="0" width="16"/>
    <col collapsed="false" customWidth="true" hidden="false" outlineLevel="0" max="11" min="11" style="0" width="44"/>
  </cols>
  <sheetData>
    <row r="1" customFormat="false" ht="25.5" hidden="false" customHeight="true" outlineLevel="0" collapsed="false">
      <c r="A1" s="9" t="s">
        <v>147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10" t="s">
        <v>148</v>
      </c>
    </row>
    <row r="4" customFormat="false" ht="31.5" hidden="false" customHeight="true" outlineLevel="0" collapsed="false">
      <c r="A4" s="39" t="s">
        <v>149</v>
      </c>
      <c r="B4" s="39" t="s">
        <v>150</v>
      </c>
      <c r="C4" s="39" t="s">
        <v>151</v>
      </c>
      <c r="D4" s="39" t="s">
        <v>152</v>
      </c>
      <c r="E4" s="39" t="s">
        <v>153</v>
      </c>
      <c r="F4" s="39" t="s">
        <v>154</v>
      </c>
      <c r="G4" s="39" t="s">
        <v>155</v>
      </c>
      <c r="H4" s="39" t="s">
        <v>156</v>
      </c>
      <c r="I4" s="39" t="s">
        <v>157</v>
      </c>
      <c r="J4" s="39" t="s">
        <v>158</v>
      </c>
      <c r="K4" s="39" t="s">
        <v>159</v>
      </c>
    </row>
    <row r="5" customFormat="false" ht="20.85" hidden="false" customHeight="false" outlineLevel="0" collapsed="false">
      <c r="A5" s="16" t="s">
        <v>160</v>
      </c>
      <c r="B5" s="12" t="n">
        <v>2600</v>
      </c>
      <c r="C5" s="40" t="n">
        <v>2</v>
      </c>
      <c r="D5" s="26" t="n">
        <f aca="false">C5*1_สมมติฐานต้นทุน!$B$33</f>
        <v>1476</v>
      </c>
      <c r="E5" s="26" t="n">
        <f aca="false">0</f>
        <v>0</v>
      </c>
      <c r="F5" s="41" t="n">
        <f aca="false">D5+E5</f>
        <v>1476</v>
      </c>
      <c r="G5" s="42" t="n">
        <f aca="false">IFERROR((B5-F5)/B5,0)</f>
        <v>0.432307692307692</v>
      </c>
      <c r="H5" s="43" t="str">
        <f aca="false">IF(G5&gt;=1_สมมติฐานต้นทุน!$B$15,"ผ่านเป้าหมาย",IF(G5&gt;=1_สมมติฐานต้นทุน!$B$14,"รับได้ (ต่ำกว่าเป้า "&amp;TEXT(1_สมมติฐานต้นทุน!$B$15-G5,"0.0%")&amp;")","ต่ำกว่าขั้นต่ำ — ทบทวนราคา"))</f>
        <v>รับได้ (ต่ำกว่าเป้า 1.8%)</v>
      </c>
      <c r="I5" s="44" t="n">
        <f aca="false">IFERROR(CEILING(F5/(1-1_สมมติฐานต้นทุน!$B$14),50),0)</f>
        <v>2300</v>
      </c>
      <c r="J5" s="32" t="n">
        <f aca="false">IFERROR(CEILING(F5/(1-1_สมมติฐานต้นทุน!$B$15),50),0)</f>
        <v>2700</v>
      </c>
      <c r="K5" s="36" t="s">
        <v>161</v>
      </c>
    </row>
    <row r="6" customFormat="false" ht="20.85" hidden="false" customHeight="false" outlineLevel="0" collapsed="false">
      <c r="A6" s="16" t="s">
        <v>162</v>
      </c>
      <c r="B6" s="12" t="n">
        <v>4900</v>
      </c>
      <c r="C6" s="40" t="n">
        <v>4</v>
      </c>
      <c r="D6" s="26" t="n">
        <f aca="false">C6*1_สมมติฐานต้นทุน!$B$33</f>
        <v>2952</v>
      </c>
      <c r="E6" s="26" t="n">
        <f aca="false">0</f>
        <v>0</v>
      </c>
      <c r="F6" s="41" t="n">
        <f aca="false">D6+E6</f>
        <v>2952</v>
      </c>
      <c r="G6" s="42" t="n">
        <f aca="false">IFERROR((B6-F6)/B6,0)</f>
        <v>0.397551020408163</v>
      </c>
      <c r="H6" s="43" t="str">
        <f aca="false">IF(G6&gt;=1_สมมติฐานต้นทุน!$B$15,"ผ่านเป้าหมาย",IF(G6&gt;=1_สมมติฐานต้นทุน!$B$14,"รับได้ (ต่ำกว่าเป้า "&amp;TEXT(1_สมมติฐานต้นทุน!$B$15-G6,"0.0%")&amp;")","ต่ำกว่าขั้นต่ำ — ทบทวนราคา"))</f>
        <v>รับได้ (ต่ำกว่าเป้า 5.2%)</v>
      </c>
      <c r="I6" s="44" t="n">
        <f aca="false">IFERROR(CEILING(F6/(1-1_สมมติฐานต้นทุน!$B$14),50),0)</f>
        <v>4550</v>
      </c>
      <c r="J6" s="32" t="n">
        <f aca="false">IFERROR(CEILING(F6/(1-1_สมมติฐานต้นทุน!$B$15),50),0)</f>
        <v>5400</v>
      </c>
      <c r="K6" s="36" t="s">
        <v>163</v>
      </c>
    </row>
    <row r="7" customFormat="false" ht="19.4" hidden="false" customHeight="false" outlineLevel="0" collapsed="false">
      <c r="A7" s="16" t="s">
        <v>164</v>
      </c>
      <c r="B7" s="12" t="n">
        <v>7900</v>
      </c>
      <c r="C7" s="40" t="n">
        <v>4</v>
      </c>
      <c r="D7" s="26" t="n">
        <f aca="false">C7*1_สมมติฐานต้นทุน!$B$33</f>
        <v>2952</v>
      </c>
      <c r="E7" s="45" t="n">
        <f aca="false">1_สมมติฐานต้นทุน!$B$21+1_สมมติฐานต้นทุน!$B$20*1_สมมติฐานต้นทุน!$B$19</f>
        <v>2200</v>
      </c>
      <c r="F7" s="41" t="n">
        <f aca="false">D7+E7</f>
        <v>5152</v>
      </c>
      <c r="G7" s="42" t="n">
        <f aca="false">IFERROR((B7-F7)/B7,0)</f>
        <v>0.347848101265823</v>
      </c>
      <c r="H7" s="43" t="str">
        <f aca="false">IF(G7&gt;=1_สมมติฐานต้นทุน!$B$15,"ผ่านเป้าหมาย",IF(G7&gt;=1_สมมติฐานต้นทุน!$B$14,"รับได้ (ต่ำกว่าเป้า "&amp;TEXT(1_สมมติฐานต้นทุน!$B$15-G7,"0.0%")&amp;")","ต่ำกว่าขั้นต่ำ — ทบทวนราคา"))</f>
        <v>ต่ำกว่าขั้นต่ำ — ทบทวนราคา</v>
      </c>
      <c r="I7" s="44" t="n">
        <f aca="false">IFERROR(CEILING(F7/(1-1_สมมติฐานต้นทุน!$B$14),50),0)</f>
        <v>7950</v>
      </c>
      <c r="J7" s="32" t="n">
        <f aca="false">IFERROR(CEILING(F7/(1-1_สมมติฐานต้นทุน!$B$15),50),0)</f>
        <v>9400</v>
      </c>
      <c r="K7" s="36" t="s">
        <v>165</v>
      </c>
    </row>
    <row r="9" customFormat="false" ht="15" hidden="false" customHeight="false" outlineLevel="0" collapsed="false">
      <c r="A9" s="10" t="s">
        <v>166</v>
      </c>
    </row>
    <row r="11" customFormat="false" ht="19.5" hidden="false" customHeight="true" outlineLevel="0" collapsed="false">
      <c r="A11" s="19" t="s">
        <v>167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customFormat="false" ht="15" hidden="false" customHeight="false" outlineLevel="0" collapsed="false">
      <c r="A12" s="4" t="s">
        <v>65</v>
      </c>
      <c r="B12" s="4" t="s">
        <v>168</v>
      </c>
      <c r="C12" s="4" t="s">
        <v>169</v>
      </c>
      <c r="D12" s="4" t="s">
        <v>170</v>
      </c>
      <c r="E12" s="4" t="s">
        <v>171</v>
      </c>
      <c r="J12" s="4" t="s">
        <v>159</v>
      </c>
    </row>
    <row r="13" customFormat="false" ht="15" hidden="false" customHeight="false" outlineLevel="0" collapsed="false">
      <c r="A13" s="11" t="s">
        <v>172</v>
      </c>
      <c r="B13" s="12" t="n">
        <v>1500</v>
      </c>
      <c r="C13" s="46" t="n">
        <f aca="false">1_สมมติฐานต้นทุน!$B$19</f>
        <v>800</v>
      </c>
      <c r="D13" s="41" t="n">
        <f aca="false">B13-C13</f>
        <v>700</v>
      </c>
      <c r="E13" s="47" t="n">
        <f aca="false">IFERROR(D13/B13,-1)</f>
        <v>0.466666666666667</v>
      </c>
      <c r="F13" s="11"/>
      <c r="G13" s="11"/>
      <c r="H13" s="11"/>
      <c r="I13" s="11"/>
      <c r="J13" s="36" t="s">
        <v>173</v>
      </c>
    </row>
    <row r="14" customFormat="false" ht="19.4" hidden="false" customHeight="false" outlineLevel="0" collapsed="false">
      <c r="A14" s="11" t="s">
        <v>174</v>
      </c>
      <c r="B14" s="12" t="n">
        <v>750</v>
      </c>
      <c r="C14" s="46" t="n">
        <f aca="false">1_สมมติฐานต้นทุน!$B$19</f>
        <v>800</v>
      </c>
      <c r="D14" s="41" t="n">
        <f aca="false">B14-C14</f>
        <v>-50</v>
      </c>
      <c r="E14" s="47" t="n">
        <f aca="false">IFERROR(D14/B14,-1)</f>
        <v>-0.0666666666666667</v>
      </c>
      <c r="F14" s="11"/>
      <c r="G14" s="11"/>
      <c r="H14" s="11"/>
      <c r="I14" s="11"/>
      <c r="J14" s="48" t="s">
        <v>175</v>
      </c>
    </row>
    <row r="15" customFormat="false" ht="19.4" hidden="false" customHeight="false" outlineLevel="0" collapsed="false">
      <c r="A15" s="11" t="s">
        <v>176</v>
      </c>
      <c r="B15" s="12" t="n">
        <v>0</v>
      </c>
      <c r="C15" s="46" t="n">
        <f aca="false">1_สมมติฐานต้นทุน!$B$19</f>
        <v>800</v>
      </c>
      <c r="D15" s="41" t="n">
        <f aca="false">B15-C15</f>
        <v>-800</v>
      </c>
      <c r="E15" s="47" t="n">
        <f aca="false">IFERROR(D15/B15,-1)</f>
        <v>-1</v>
      </c>
      <c r="F15" s="11"/>
      <c r="G15" s="11"/>
      <c r="H15" s="11"/>
      <c r="I15" s="11"/>
      <c r="J15" s="36" t="s">
        <v>177</v>
      </c>
    </row>
    <row r="17" customFormat="false" ht="19.5" hidden="false" customHeight="true" outlineLevel="0" collapsed="false">
      <c r="A17" s="24" t="s">
        <v>178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5"/>
    </row>
    <row r="18" customFormat="false" ht="15" hidden="false" customHeight="false" outlineLevel="0" collapsed="false">
      <c r="A18" s="4" t="s">
        <v>65</v>
      </c>
      <c r="B18" s="4" t="s">
        <v>179</v>
      </c>
      <c r="D18" s="4" t="s">
        <v>180</v>
      </c>
      <c r="G18" s="4" t="s">
        <v>155</v>
      </c>
      <c r="H18" s="4" t="s">
        <v>181</v>
      </c>
      <c r="I18" s="4" t="s">
        <v>182</v>
      </c>
      <c r="J18" s="4" t="s">
        <v>159</v>
      </c>
    </row>
    <row r="19" customFormat="false" ht="15" hidden="false" customHeight="false" outlineLevel="0" collapsed="false">
      <c r="A19" s="11" t="s">
        <v>183</v>
      </c>
      <c r="B19" s="12" t="n">
        <v>650</v>
      </c>
      <c r="C19" s="11"/>
      <c r="D19" s="46" t="n">
        <f aca="false">1_สมมติฐานต้นทุน!$B$31</f>
        <v>325</v>
      </c>
      <c r="E19" s="11"/>
      <c r="F19" s="11"/>
      <c r="G19" s="42" t="n">
        <f aca="false">IFERROR((B19-D19)/B19,0)</f>
        <v>0.5</v>
      </c>
      <c r="H19" s="49" t="str">
        <f aca="false">IF(G19&gt;=1_สมมติฐานต้นทุน!$B$15,"ผ่านเป้าหมาย",IF(G19&gt;=1_สมมติฐานต้นทุน!$B$14,"รับได้","ต่ำกว่าขั้นต่ำ"))</f>
        <v>ผ่านเป้าหมาย</v>
      </c>
      <c r="I19" s="50" t="n">
        <f aca="false">IFERROR(CEILING(D19/(1-1_สมมติฐานต้นทุน!$B$14),50),0)</f>
        <v>500</v>
      </c>
      <c r="J19" s="51" t="n">
        <f aca="false">IFERROR(CEILING(D19/(1-1_สมมติฐานต้นทุน!$B$15),50),0)</f>
        <v>600</v>
      </c>
      <c r="K19" s="36" t="s">
        <v>184</v>
      </c>
    </row>
    <row r="20" customFormat="false" ht="15" hidden="false" customHeight="false" outlineLevel="0" collapsed="false">
      <c r="A20" s="11" t="s">
        <v>185</v>
      </c>
      <c r="B20" s="12" t="n">
        <v>850</v>
      </c>
      <c r="C20" s="11"/>
      <c r="D20" s="46" t="n">
        <f aca="false">1_สมมติฐานต้นทุน!$B$32</f>
        <v>413</v>
      </c>
      <c r="E20" s="11"/>
      <c r="F20" s="11"/>
      <c r="G20" s="42" t="n">
        <f aca="false">IFERROR((B20-D20)/B20,0)</f>
        <v>0.514117647058824</v>
      </c>
      <c r="H20" s="49" t="str">
        <f aca="false">IF(G20&gt;=1_สมมติฐานต้นทุน!$B$15,"ผ่านเป้าหมาย",IF(G20&gt;=1_สมมติฐานต้นทุน!$B$14,"รับได้","ต่ำกว่าขั้นต่ำ"))</f>
        <v>ผ่านเป้าหมาย</v>
      </c>
      <c r="I20" s="50" t="n">
        <f aca="false">IFERROR(CEILING(D20/(1-1_สมมติฐานต้นทุน!$B$14),50),0)</f>
        <v>650</v>
      </c>
      <c r="J20" s="51" t="n">
        <f aca="false">IFERROR(CEILING(D20/(1-1_สมมติฐานต้นทุน!$B$15),50),0)</f>
        <v>800</v>
      </c>
      <c r="K20" s="36" t="s">
        <v>186</v>
      </c>
    </row>
    <row r="22" customFormat="false" ht="19.5" hidden="false" customHeight="true" outlineLevel="0" collapsed="false">
      <c r="A22" s="19" t="s">
        <v>187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0"/>
      <c r="M22" s="20"/>
      <c r="N22" s="20"/>
    </row>
    <row r="23" customFormat="false" ht="30" hidden="false" customHeight="true" outlineLevel="0" collapsed="false">
      <c r="A23" s="39" t="s">
        <v>188</v>
      </c>
      <c r="B23" s="39" t="s">
        <v>189</v>
      </c>
      <c r="C23" s="39" t="s">
        <v>190</v>
      </c>
      <c r="D23" s="39" t="s">
        <v>191</v>
      </c>
      <c r="E23" s="39" t="s">
        <v>192</v>
      </c>
      <c r="F23" s="39" t="s">
        <v>193</v>
      </c>
      <c r="G23" s="39" t="s">
        <v>194</v>
      </c>
      <c r="H23" s="39" t="s">
        <v>195</v>
      </c>
      <c r="I23" s="39" t="s">
        <v>196</v>
      </c>
      <c r="J23" s="39" t="s">
        <v>197</v>
      </c>
    </row>
    <row r="24" customFormat="false" ht="15" hidden="false" customHeight="false" outlineLevel="0" collapsed="false">
      <c r="A24" s="52" t="n">
        <v>1</v>
      </c>
      <c r="B24" s="17" t="n">
        <v>0</v>
      </c>
      <c r="C24" s="40" t="n">
        <v>0</v>
      </c>
      <c r="D24" s="26" t="n">
        <f aca="false">ROUND($B$5*(1-$B24),0)</f>
        <v>2600</v>
      </c>
      <c r="E24" s="42" t="n">
        <f aca="false">IFERROR((D24-(($C$5+$C24)*1_สมมติฐานต้นทุน!$B$33+$E$5))/D24,0)</f>
        <v>0.432307692307692</v>
      </c>
      <c r="F24" s="26" t="n">
        <f aca="false">ROUND($B$6*(1-$B24),0)</f>
        <v>4900</v>
      </c>
      <c r="G24" s="42" t="n">
        <f aca="false">IFERROR((F24-(($C$6+$C24)*1_สมมติฐานต้นทุน!$B$33+$E$6))/F24,0)</f>
        <v>0.397551020408163</v>
      </c>
      <c r="H24" s="26" t="n">
        <f aca="false">ROUND($B$7*(1-$B24),0)</f>
        <v>7900</v>
      </c>
      <c r="I24" s="42" t="n">
        <f aca="false">IFERROR((H24-(($C$7+$C24)*1_สมมติฐานต้นทุน!$B$33+$E$7))/H24,0)</f>
        <v>0.347848101265823</v>
      </c>
      <c r="J24" s="43" t="str">
        <f aca="false">IF(MIN(E24,G24,I24)&lt;0,"ขาดทุน — ต้องแก้ทันที",IF(MIN(E24,G24,I24)&lt;1_สมมติฐานต้นทุน!$B$14,"ต่ำกว่าขั้นต่ำ",IF(MIN(E24,G24,I24)&lt;1_สมมติฐานต้นทุน!$B$15,"รับได้","ผ่านเป้าหมายทุกแพ็คเกจ")))</f>
        <v>ต่ำกว่าขั้นต่ำ</v>
      </c>
    </row>
    <row r="25" customFormat="false" ht="15" hidden="false" customHeight="false" outlineLevel="0" collapsed="false">
      <c r="A25" s="52" t="n">
        <v>2</v>
      </c>
      <c r="B25" s="17" t="n">
        <v>0.1</v>
      </c>
      <c r="C25" s="40" t="n">
        <v>0</v>
      </c>
      <c r="D25" s="26" t="n">
        <f aca="false">ROUND($B$5*(1-$B25),0)</f>
        <v>2340</v>
      </c>
      <c r="E25" s="42" t="n">
        <f aca="false">IFERROR((D25-(($C$5+$C25)*1_สมมติฐานต้นทุน!$B$33+$E$5))/D25,0)</f>
        <v>0.369230769230769</v>
      </c>
      <c r="F25" s="26" t="n">
        <f aca="false">ROUND($B$6*(1-$B25),0)</f>
        <v>4410</v>
      </c>
      <c r="G25" s="42" t="n">
        <f aca="false">IFERROR((F25-(($C$6+$C25)*1_สมมติฐานต้นทุน!$B$33+$E$6))/F25,0)</f>
        <v>0.330612244897959</v>
      </c>
      <c r="H25" s="26" t="n">
        <f aca="false">ROUND($B$7*(1-$B25),0)</f>
        <v>7110</v>
      </c>
      <c r="I25" s="42" t="n">
        <f aca="false">IFERROR((H25-(($C$7+$C25)*1_สมมติฐานต้นทุน!$B$33+$E$7))/H25,0)</f>
        <v>0.275386779184248</v>
      </c>
      <c r="J25" s="43" t="str">
        <f aca="false">IF(MIN(E25,G25,I25)&lt;0,"ขาดทุน — ต้องแก้ทันที",IF(MIN(E25,G25,I25)&lt;1_สมมติฐานต้นทุน!$B$14,"ต่ำกว่าขั้นต่ำ",IF(MIN(E25,G25,I25)&lt;1_สมมติฐานต้นทุน!$B$15,"รับได้","ผ่านเป้าหมายทุกแพ็คเกจ")))</f>
        <v>ต่ำกว่าขั้นต่ำ</v>
      </c>
    </row>
    <row r="26" customFormat="false" ht="15" hidden="false" customHeight="false" outlineLevel="0" collapsed="false">
      <c r="A26" s="52" t="n">
        <v>3</v>
      </c>
      <c r="B26" s="17" t="n">
        <v>0.1</v>
      </c>
      <c r="C26" s="40" t="n">
        <v>0</v>
      </c>
      <c r="D26" s="26" t="n">
        <f aca="false">ROUND($B$5*(1-$B26),0)</f>
        <v>2340</v>
      </c>
      <c r="E26" s="42" t="n">
        <f aca="false">IFERROR((D26-(($C$5+$C26)*1_สมมติฐานต้นทุน!$B$33+$E$5))/D26,0)</f>
        <v>0.369230769230769</v>
      </c>
      <c r="F26" s="26" t="n">
        <f aca="false">ROUND($B$6*(1-$B26),0)</f>
        <v>4410</v>
      </c>
      <c r="G26" s="42" t="n">
        <f aca="false">IFERROR((F26-(($C$6+$C26)*1_สมมติฐานต้นทุน!$B$33+$E$6))/F26,0)</f>
        <v>0.330612244897959</v>
      </c>
      <c r="H26" s="26" t="n">
        <f aca="false">ROUND($B$7*(1-$B26),0)</f>
        <v>7110</v>
      </c>
      <c r="I26" s="42" t="n">
        <f aca="false">IFERROR((H26-(($C$7+$C26)*1_สมมติฐานต้นทุน!$B$33+$E$7))/H26,0)</f>
        <v>0.275386779184248</v>
      </c>
      <c r="J26" s="43" t="str">
        <f aca="false">IF(MIN(E26,G26,I26)&lt;0,"ขาดทุน — ต้องแก้ทันที",IF(MIN(E26,G26,I26)&lt;1_สมมติฐานต้นทุน!$B$14,"ต่ำกว่าขั้นต่ำ",IF(MIN(E26,G26,I26)&lt;1_สมมติฐานต้นทุน!$B$15,"รับได้","ผ่านเป้าหมายทุกแพ็คเกจ")))</f>
        <v>ต่ำกว่าขั้นต่ำ</v>
      </c>
    </row>
    <row r="27" customFormat="false" ht="15" hidden="false" customHeight="false" outlineLevel="0" collapsed="false">
      <c r="A27" s="52" t="n">
        <v>4</v>
      </c>
      <c r="B27" s="17" t="n">
        <v>0.2</v>
      </c>
      <c r="C27" s="40" t="n">
        <v>0</v>
      </c>
      <c r="D27" s="26" t="n">
        <f aca="false">ROUND($B$5*(1-$B27),0)</f>
        <v>2080</v>
      </c>
      <c r="E27" s="42" t="n">
        <f aca="false">IFERROR((D27-(($C$5+$C27)*1_สมมติฐานต้นทุน!$B$33+$E$5))/D27,0)</f>
        <v>0.290384615384615</v>
      </c>
      <c r="F27" s="26" t="n">
        <f aca="false">ROUND($B$6*(1-$B27),0)</f>
        <v>3920</v>
      </c>
      <c r="G27" s="42" t="n">
        <f aca="false">IFERROR((F27-(($C$6+$C27)*1_สมมติฐานต้นทุน!$B$33+$E$6))/F27,0)</f>
        <v>0.246938775510204</v>
      </c>
      <c r="H27" s="26" t="n">
        <f aca="false">ROUND($B$7*(1-$B27),0)</f>
        <v>6320</v>
      </c>
      <c r="I27" s="42" t="n">
        <f aca="false">IFERROR((H27-(($C$7+$C27)*1_สมมติฐานต้นทุน!$B$33+$E$7))/H27,0)</f>
        <v>0.184810126582279</v>
      </c>
      <c r="J27" s="43" t="str">
        <f aca="false">IF(MIN(E27,G27,I27)&lt;0,"ขาดทุน — ต้องแก้ทันที",IF(MIN(E27,G27,I27)&lt;1_สมมติฐานต้นทุน!$B$14,"ต่ำกว่าขั้นต่ำ",IF(MIN(E27,G27,I27)&lt;1_สมมติฐานต้นทุน!$B$15,"รับได้","ผ่านเป้าหมายทุกแพ็คเกจ")))</f>
        <v>ต่ำกว่าขั้นต่ำ</v>
      </c>
    </row>
    <row r="28" customFormat="false" ht="15" hidden="false" customHeight="false" outlineLevel="0" collapsed="false">
      <c r="A28" s="52" t="n">
        <v>5</v>
      </c>
      <c r="B28" s="17" t="n">
        <v>0.2</v>
      </c>
      <c r="C28" s="40" t="n">
        <v>0</v>
      </c>
      <c r="D28" s="26" t="n">
        <f aca="false">ROUND($B$5*(1-$B28),0)</f>
        <v>2080</v>
      </c>
      <c r="E28" s="42" t="n">
        <f aca="false">IFERROR((D28-(($C$5+$C28)*1_สมมติฐานต้นทุน!$B$33+$E$5))/D28,0)</f>
        <v>0.290384615384615</v>
      </c>
      <c r="F28" s="26" t="n">
        <f aca="false">ROUND($B$6*(1-$B28),0)</f>
        <v>3920</v>
      </c>
      <c r="G28" s="42" t="n">
        <f aca="false">IFERROR((F28-(($C$6+$C28)*1_สมมติฐานต้นทุน!$B$33+$E$6))/F28,0)</f>
        <v>0.246938775510204</v>
      </c>
      <c r="H28" s="26" t="n">
        <f aca="false">ROUND($B$7*(1-$B28),0)</f>
        <v>6320</v>
      </c>
      <c r="I28" s="42" t="n">
        <f aca="false">IFERROR((H28-(($C$7+$C28)*1_สมมติฐานต้นทุน!$B$33+$E$7))/H28,0)</f>
        <v>0.184810126582279</v>
      </c>
      <c r="J28" s="43" t="str">
        <f aca="false">IF(MIN(E28,G28,I28)&lt;0,"ขาดทุน — ต้องแก้ทันที",IF(MIN(E28,G28,I28)&lt;1_สมมติฐานต้นทุน!$B$14,"ต่ำกว่าขั้นต่ำ",IF(MIN(E28,G28,I28)&lt;1_สมมติฐานต้นทุน!$B$15,"รับได้","ผ่านเป้าหมายทุกแพ็คเกจ")))</f>
        <v>ต่ำกว่าขั้นต่ำ</v>
      </c>
    </row>
    <row r="29" customFormat="false" ht="15" hidden="false" customHeight="false" outlineLevel="0" collapsed="false">
      <c r="A29" s="52" t="n">
        <v>6</v>
      </c>
      <c r="B29" s="17" t="n">
        <v>0.25</v>
      </c>
      <c r="C29" s="40" t="n">
        <v>1</v>
      </c>
      <c r="D29" s="26" t="n">
        <f aca="false">ROUND($B$5*(1-$B29),0)</f>
        <v>1950</v>
      </c>
      <c r="E29" s="42" t="n">
        <f aca="false">IFERROR((D29-(($C$5+$C29)*1_สมมติฐานต้นทุน!$B$33+$E$5))/D29,0)</f>
        <v>-0.135384615384615</v>
      </c>
      <c r="F29" s="26" t="n">
        <f aca="false">ROUND($B$6*(1-$B29),0)</f>
        <v>3675</v>
      </c>
      <c r="G29" s="42" t="n">
        <f aca="false">IFERROR((F29-(($C$6+$C29)*1_สมมติฐานต้นทุน!$B$33+$E$6))/F29,0)</f>
        <v>-0.00408163265306123</v>
      </c>
      <c r="H29" s="26" t="n">
        <f aca="false">ROUND($B$7*(1-$B29),0)</f>
        <v>5925</v>
      </c>
      <c r="I29" s="42" t="n">
        <f aca="false">IFERROR((H29-(($C$7+$C29)*1_สมมติฐานต้นทุน!$B$33+$E$7))/H29,0)</f>
        <v>0.00590717299578059</v>
      </c>
      <c r="J29" s="43" t="str">
        <f aca="false">IF(MIN(E29,G29,I29)&lt;0,"ขาดทุน — ต้องแก้ทันที",IF(MIN(E29,G29,I29)&lt;1_สมมติฐานต้นทุน!$B$14,"ต่ำกว่าขั้นต่ำ",IF(MIN(E29,G29,I29)&lt;1_สมมติฐานต้นทุน!$B$15,"รับได้","ผ่านเป้าหมายทุกแพ็คเกจ")))</f>
        <v>ขาดทุน — ต้องแก้ทันที</v>
      </c>
    </row>
    <row r="30" customFormat="false" ht="15" hidden="false" customHeight="false" outlineLevel="0" collapsed="false">
      <c r="A30" s="37" t="s">
        <v>198</v>
      </c>
    </row>
    <row r="32" customFormat="false" ht="19.5" hidden="false" customHeight="true" outlineLevel="0" collapsed="false">
      <c r="A32" s="19" t="s">
        <v>199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20"/>
      <c r="N32" s="20"/>
      <c r="O32" s="20"/>
    </row>
    <row r="33" customFormat="false" ht="30" hidden="false" customHeight="true" outlineLevel="0" collapsed="false">
      <c r="A33" s="39" t="s">
        <v>200</v>
      </c>
      <c r="B33" s="39" t="s">
        <v>201</v>
      </c>
      <c r="C33" s="39" t="s">
        <v>202</v>
      </c>
      <c r="D33" s="39" t="s">
        <v>203</v>
      </c>
      <c r="E33" s="39" t="s">
        <v>204</v>
      </c>
      <c r="F33" s="39" t="s">
        <v>205</v>
      </c>
      <c r="K33" s="39" t="s">
        <v>159</v>
      </c>
    </row>
    <row r="34" customFormat="false" ht="15" hidden="false" customHeight="false" outlineLevel="0" collapsed="false">
      <c r="A34" s="16" t="str">
        <f aca="false">LEFT($A$5,FIND(" —",$A$5)-1)</f>
        <v>Care</v>
      </c>
      <c r="B34" s="46" t="n">
        <f aca="false">$B$5</f>
        <v>2600</v>
      </c>
      <c r="C34" s="46" t="n">
        <f aca="false">$F$5</f>
        <v>1476</v>
      </c>
      <c r="D34" s="42" t="n">
        <f aca="false">IFERROR(MAX(0,1-(C34/(1-1_สมมติฐานต้นทุน!$B$14))/B34),0)</f>
        <v>0.126627218934911</v>
      </c>
      <c r="E34" s="26" t="n">
        <f aca="false">$C$5*1_สมมติฐานต้นทุน!$B$33+1_สมมติฐานต้นทุน!$B$33+$E$5</f>
        <v>2214</v>
      </c>
      <c r="F34" s="42" t="n">
        <f aca="false">IFERROR(MAX(0,1-(E34/(1-1_สมมติฐานต้นทุน!$B$14))/B34),0)</f>
        <v>0</v>
      </c>
      <c r="G34" s="11"/>
      <c r="H34" s="11"/>
      <c r="I34" s="11"/>
      <c r="J34" s="11"/>
      <c r="K34" s="36" t="s">
        <v>206</v>
      </c>
    </row>
    <row r="35" customFormat="false" ht="15" hidden="false" customHeight="false" outlineLevel="0" collapsed="false">
      <c r="A35" s="16" t="str">
        <f aca="false">LEFT($A$6,FIND(" —",$A$6)-1)</f>
        <v>Care+</v>
      </c>
      <c r="B35" s="46" t="n">
        <f aca="false">$B$6</f>
        <v>4900</v>
      </c>
      <c r="C35" s="46" t="n">
        <f aca="false">$F$6</f>
        <v>2952</v>
      </c>
      <c r="D35" s="42" t="n">
        <f aca="false">IFERROR(MAX(0,1-(C35/(1-1_สมมติฐานต้นทุน!$B$14))/B35),0)</f>
        <v>0.073155416012559</v>
      </c>
      <c r="E35" s="26" t="n">
        <f aca="false">$C$6*1_สมมติฐานต้นทุน!$B$33+1_สมมติฐานต้นทุน!$B$33+$E$6</f>
        <v>3690</v>
      </c>
      <c r="F35" s="42" t="n">
        <f aca="false">IFERROR(MAX(0,1-(E35/(1-1_สมมติฐานต้นทุน!$B$14))/B35),0)</f>
        <v>0</v>
      </c>
      <c r="G35" s="11"/>
      <c r="H35" s="11"/>
      <c r="I35" s="11"/>
      <c r="J35" s="11"/>
      <c r="K35" s="36" t="s">
        <v>206</v>
      </c>
    </row>
    <row r="36" customFormat="false" ht="15" hidden="false" customHeight="false" outlineLevel="0" collapsed="false">
      <c r="A36" s="16" t="str">
        <f aca="false">LEFT($A$7,FIND(" —",$A$7)-1)</f>
        <v>Care Pro</v>
      </c>
      <c r="B36" s="46" t="n">
        <f aca="false">$B$7</f>
        <v>7900</v>
      </c>
      <c r="C36" s="46" t="n">
        <f aca="false">$F$7</f>
        <v>5152</v>
      </c>
      <c r="D36" s="42" t="n">
        <f aca="false">IFERROR(MAX(0,1-(C36/(1-1_สมมติฐานต้นทุน!$B$14))/B36),0)</f>
        <v>0</v>
      </c>
      <c r="E36" s="26" t="n">
        <f aca="false">$C$7*1_สมมติฐานต้นทุน!$B$33+1_สมมติฐานต้นทุน!$B$33+$E$7</f>
        <v>5890</v>
      </c>
      <c r="F36" s="42" t="n">
        <f aca="false">IFERROR(MAX(0,1-(E36/(1-1_สมมติฐานต้นทุน!$B$14))/B36),0)</f>
        <v>0</v>
      </c>
      <c r="G36" s="11"/>
      <c r="H36" s="11"/>
      <c r="I36" s="11"/>
      <c r="J36" s="11"/>
      <c r="K36" s="36" t="s">
        <v>206</v>
      </c>
    </row>
    <row r="37" customFormat="false" ht="15" hidden="false" customHeight="false" outlineLevel="0" collapsed="false">
      <c r="A37" s="10" t="s">
        <v>207</v>
      </c>
    </row>
    <row r="39" customFormat="false" ht="19.5" hidden="false" customHeight="true" outlineLevel="0" collapsed="false">
      <c r="A39" s="19" t="s">
        <v>208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20"/>
      <c r="N39" s="20"/>
      <c r="O39" s="20"/>
      <c r="P39" s="20"/>
    </row>
    <row r="40" customFormat="false" ht="27.75" hidden="false" customHeight="true" outlineLevel="0" collapsed="false">
      <c r="A40" s="39" t="s">
        <v>188</v>
      </c>
      <c r="B40" s="39" t="s">
        <v>209</v>
      </c>
      <c r="C40" s="39" t="s">
        <v>190</v>
      </c>
      <c r="D40" s="39" t="s">
        <v>192</v>
      </c>
      <c r="E40" s="39" t="s">
        <v>194</v>
      </c>
      <c r="F40" s="39" t="s">
        <v>196</v>
      </c>
      <c r="K40" s="39" t="s">
        <v>181</v>
      </c>
    </row>
    <row r="41" customFormat="false" ht="15" hidden="false" customHeight="false" outlineLevel="0" collapsed="false">
      <c r="A41" s="53" t="s">
        <v>210</v>
      </c>
      <c r="B41" s="17" t="n">
        <v>0</v>
      </c>
      <c r="C41" s="40" t="n">
        <v>0</v>
      </c>
      <c r="D41" s="42" t="n">
        <f aca="false">IFERROR((ROUND($B$5*(1-$B41),0)-(($C$5+$C41)*1_สมมติฐานต้นทุน!$B$33+$E$5))/ROUND($B$5*(1-$B41),0),0)</f>
        <v>0.432307692307692</v>
      </c>
      <c r="E41" s="42" t="n">
        <f aca="false">IFERROR((ROUND($B$6*(1-$B41),0)-(($C$6+$C41)*1_สมมติฐานต้นทุน!$B$33+$E$6))/ROUND($B$6*(1-$B41),0),0)</f>
        <v>0.397551020408163</v>
      </c>
      <c r="F41" s="42" t="n">
        <f aca="false">IFERROR((ROUND($B$7*(1-$B41),0)-(($C$7+$C41)*1_สมมติฐานต้นทุน!$B$33+$E$7))/ROUND($B$7*(1-$B41),0),0)</f>
        <v>0.347848101265823</v>
      </c>
      <c r="G41" s="11"/>
      <c r="H41" s="11"/>
      <c r="I41" s="11"/>
      <c r="J41" s="11"/>
      <c r="K41" s="43" t="str">
        <f aca="false">IF(MIN(D41,E41,F41)&gt;=1_สมมติฐานต้นทุน!$B$14,"ผ่านขั้นต่ำทุกแพ็คเกจ",IF(MIN(D41,E41)&gt;=1_สมมติฐานต้นทุน!$B$14,"Care/Care+ ผ่าน · Care Pro ต่ำกว่าขั้นต่ำตั้งแต่ราคาป้าย","ยังต่ำกว่าขั้นต่ำ"))</f>
        <v>Care/Care+ ผ่าน · Care Pro ต่ำกว่าขั้นต่ำตั้งแต่ราคาป้าย</v>
      </c>
    </row>
    <row r="42" customFormat="false" ht="15" hidden="false" customHeight="false" outlineLevel="0" collapsed="false">
      <c r="A42" s="53" t="s">
        <v>211</v>
      </c>
      <c r="B42" s="17" t="n">
        <v>0.05</v>
      </c>
      <c r="C42" s="40" t="n">
        <v>0</v>
      </c>
      <c r="D42" s="42" t="n">
        <f aca="false">IFERROR((ROUND($B$5*(1-$B42),0)-(($C$5+$C42)*1_สมมติฐานต้นทุน!$B$33+$E$5))/ROUND($B$5*(1-$B42),0),0)</f>
        <v>0.402429149797571</v>
      </c>
      <c r="E42" s="42" t="n">
        <f aca="false">IFERROR((ROUND($B$6*(1-$B42),0)-(($C$6+$C42)*1_สมมติฐานต้นทุน!$B$33+$E$6))/ROUND($B$6*(1-$B42),0),0)</f>
        <v>0.365843179377014</v>
      </c>
      <c r="F42" s="42" t="n">
        <f aca="false">IFERROR((ROUND($B$7*(1-$B42),0)-(($C$7+$C42)*1_สมมติฐานต้นทุน!$B$33+$E$7))/ROUND($B$7*(1-$B42),0),0)</f>
        <v>0.313524317121919</v>
      </c>
      <c r="G42" s="11"/>
      <c r="H42" s="11"/>
      <c r="I42" s="11"/>
      <c r="J42" s="11"/>
      <c r="K42" s="43" t="str">
        <f aca="false">IF(MIN(D42,E42,F42)&gt;=1_สมมติฐานต้นทุน!$B$14,"ผ่านขั้นต่ำทุกแพ็คเกจ",IF(MIN(D42,E42)&gt;=1_สมมติฐานต้นทุน!$B$14,"Care/Care+ ผ่าน · Care Pro ต่ำกว่าขั้นต่ำตั้งแต่ราคาป้าย","ยังต่ำกว่าขั้นต่ำ"))</f>
        <v>Care/Care+ ผ่าน · Care Pro ต่ำกว่าขั้นต่ำตั้งแต่ราคาป้าย</v>
      </c>
    </row>
    <row r="43" customFormat="false" ht="15" hidden="false" customHeight="false" outlineLevel="0" collapsed="false">
      <c r="A43" s="53" t="s">
        <v>212</v>
      </c>
      <c r="B43" s="17" t="n">
        <v>0.1</v>
      </c>
      <c r="C43" s="40" t="n">
        <v>0</v>
      </c>
      <c r="D43" s="42" t="n">
        <f aca="false">IFERROR((ROUND($B$5*(1-$B43),0)-(($C$5+$C43)*1_สมมติฐานต้นทุน!$B$33+$E$5))/ROUND($B$5*(1-$B43),0),0)</f>
        <v>0.369230769230769</v>
      </c>
      <c r="E43" s="42" t="n">
        <f aca="false">IFERROR((ROUND($B$6*(1-$B43),0)-(($C$6+$C43)*1_สมมติฐานต้นทุน!$B$33+$E$6))/ROUND($B$6*(1-$B43),0),0)</f>
        <v>0.330612244897959</v>
      </c>
      <c r="F43" s="42" t="n">
        <f aca="false">IFERROR((ROUND($B$7*(1-$B43),0)-(($C$7+$C43)*1_สมมติฐานต้นทุน!$B$33+$E$7))/ROUND($B$7*(1-$B43),0),0)</f>
        <v>0.275386779184248</v>
      </c>
      <c r="G43" s="11"/>
      <c r="H43" s="11"/>
      <c r="I43" s="11"/>
      <c r="J43" s="11"/>
      <c r="K43" s="43" t="str">
        <f aca="false">IF(MIN(D43,E43,F43)&gt;=1_สมมติฐานต้นทุน!$B$14,"ผ่านขั้นต่ำทุกแพ็คเกจ",IF(MIN(D43,E43)&gt;=1_สมมติฐานต้นทุน!$B$14,"Care/Care+ ผ่าน · Care Pro ต่ำกว่าขั้นต่ำตั้งแต่ราคาป้าย","ยังต่ำกว่าขั้นต่ำ"))</f>
        <v>ยังต่ำกว่าขั้นต่ำ</v>
      </c>
    </row>
    <row r="44" customFormat="false" ht="15" hidden="false" customHeight="false" outlineLevel="0" collapsed="false">
      <c r="A44" s="53" t="s">
        <v>213</v>
      </c>
      <c r="B44" s="17" t="n">
        <v>0.12</v>
      </c>
      <c r="C44" s="40" t="n">
        <v>0</v>
      </c>
      <c r="D44" s="42" t="n">
        <f aca="false">IFERROR((ROUND($B$5*(1-$B44),0)-(($C$5+$C44)*1_สมมติฐานต้นทุน!$B$33+$E$5))/ROUND($B$5*(1-$B44),0),0)</f>
        <v>0.354895104895105</v>
      </c>
      <c r="E44" s="42" t="n">
        <f aca="false">IFERROR((ROUND($B$6*(1-$B44),0)-(($C$6+$C44)*1_สมมติฐานต้นทุน!$B$33+$E$6))/ROUND($B$6*(1-$B44),0),0)</f>
        <v>0.315398886827458</v>
      </c>
      <c r="F44" s="42" t="n">
        <f aca="false">IFERROR((ROUND($B$7*(1-$B44),0)-(($C$7+$C44)*1_สมมติฐานต้นทุน!$B$33+$E$7))/ROUND($B$7*(1-$B44),0),0)</f>
        <v>0.25891829689298</v>
      </c>
      <c r="G44" s="11"/>
      <c r="H44" s="11"/>
      <c r="I44" s="11"/>
      <c r="J44" s="11"/>
      <c r="K44" s="43" t="str">
        <f aca="false">IF(MIN(D44,E44,F44)&gt;=1_สมมติฐานต้นทุน!$B$14,"ผ่านขั้นต่ำทุกแพ็คเกจ",IF(MIN(D44,E44)&gt;=1_สมมติฐานต้นทุน!$B$14,"Care/Care+ ผ่าน · Care Pro ต่ำกว่าขั้นต่ำตั้งแต่ราคาป้าย","ยังต่ำกว่าขั้นต่ำ"))</f>
        <v>ยังต่ำกว่าขั้นต่ำ</v>
      </c>
    </row>
    <row r="45" customFormat="false" ht="15" hidden="false" customHeight="false" outlineLevel="0" collapsed="false">
      <c r="A45" s="37" t="s">
        <v>214</v>
      </c>
    </row>
    <row r="46" customFormat="false" ht="15" hidden="false" customHeight="false" outlineLevel="0" collapsed="false">
      <c r="A46" s="10" t="s">
        <v>215</v>
      </c>
    </row>
  </sheetData>
  <mergeCells count="6">
    <mergeCell ref="A1:K1"/>
    <mergeCell ref="A11:K11"/>
    <mergeCell ref="A17:K17"/>
    <mergeCell ref="A22:K22"/>
    <mergeCell ref="A32:K32"/>
    <mergeCell ref="A39:K39"/>
  </mergeCells>
  <conditionalFormatting sqref="G5:G7">
    <cfRule type="expression" priority="2" aboveAverage="0" equalAverage="0" bottom="0" percent="0" rank="0" text="" dxfId="0">
      <formula>$G5&lt;0</formula>
    </cfRule>
    <cfRule type="expression" priority="3" aboveAverage="0" equalAverage="0" bottom="0" percent="0" rank="0" text="" dxfId="1">
      <formula>$G5&lt;1_สมมติฐานต้นทุน!$B$14</formula>
    </cfRule>
    <cfRule type="expression" priority="4" aboveAverage="0" equalAverage="0" bottom="0" percent="0" rank="0" text="" dxfId="2">
      <formula>$G5&lt;1_สมมติฐานต้นทุน!$B$15</formula>
    </cfRule>
    <cfRule type="expression" priority="5" aboveAverage="0" equalAverage="0" bottom="0" percent="0" rank="0" text="" dxfId="3">
      <formula>$G5&gt;=1_สมมติฐานต้นทุน!$B$15</formula>
    </cfRule>
  </conditionalFormatting>
  <conditionalFormatting sqref="E24:E29">
    <cfRule type="expression" priority="6" aboveAverage="0" equalAverage="0" bottom="0" percent="0" rank="0" text="" dxfId="0">
      <formula>$E24&lt;0</formula>
    </cfRule>
    <cfRule type="expression" priority="7" aboveAverage="0" equalAverage="0" bottom="0" percent="0" rank="0" text="" dxfId="1">
      <formula>$E24&lt;1_สมมติฐานต้นทุน!$B$14</formula>
    </cfRule>
    <cfRule type="expression" priority="8" aboveAverage="0" equalAverage="0" bottom="0" percent="0" rank="0" text="" dxfId="2">
      <formula>$E24&lt;1_สมมติฐานต้นทุน!$B$15</formula>
    </cfRule>
    <cfRule type="expression" priority="9" aboveAverage="0" equalAverage="0" bottom="0" percent="0" rank="0" text="" dxfId="3">
      <formula>$E24&gt;=1_สมมติฐานต้นทุน!$B$15</formula>
    </cfRule>
  </conditionalFormatting>
  <conditionalFormatting sqref="G24:G29">
    <cfRule type="expression" priority="10" aboveAverage="0" equalAverage="0" bottom="0" percent="0" rank="0" text="" dxfId="0">
      <formula>$G24&lt;0</formula>
    </cfRule>
    <cfRule type="expression" priority="11" aboveAverage="0" equalAverage="0" bottom="0" percent="0" rank="0" text="" dxfId="1">
      <formula>$G24&lt;1_สมมติฐานต้นทุน!$B$14</formula>
    </cfRule>
    <cfRule type="expression" priority="12" aboveAverage="0" equalAverage="0" bottom="0" percent="0" rank="0" text="" dxfId="2">
      <formula>$G24&lt;1_สมมติฐานต้นทุน!$B$15</formula>
    </cfRule>
    <cfRule type="expression" priority="13" aboveAverage="0" equalAverage="0" bottom="0" percent="0" rank="0" text="" dxfId="3">
      <formula>$G24&gt;=1_สมมติฐานต้นทุน!$B$15</formula>
    </cfRule>
  </conditionalFormatting>
  <conditionalFormatting sqref="I24:I29">
    <cfRule type="expression" priority="14" aboveAverage="0" equalAverage="0" bottom="0" percent="0" rank="0" text="" dxfId="0">
      <formula>$I24&lt;0</formula>
    </cfRule>
    <cfRule type="expression" priority="15" aboveAverage="0" equalAverage="0" bottom="0" percent="0" rank="0" text="" dxfId="1">
      <formula>$I24&lt;1_สมมติฐานต้นทุน!$B$14</formula>
    </cfRule>
    <cfRule type="expression" priority="16" aboveAverage="0" equalAverage="0" bottom="0" percent="0" rank="0" text="" dxfId="2">
      <formula>$I24&lt;1_สมมติฐานต้นทุน!$B$15</formula>
    </cfRule>
    <cfRule type="expression" priority="17" aboveAverage="0" equalAverage="0" bottom="0" percent="0" rank="0" text="" dxfId="3">
      <formula>$I24&gt;=1_สมมติฐานต้นทุน!$B$15</formula>
    </cfRule>
  </conditionalFormatting>
  <conditionalFormatting sqref="G19:G20">
    <cfRule type="expression" priority="18" aboveAverage="0" equalAverage="0" bottom="0" percent="0" rank="0" text="" dxfId="0">
      <formula>$G19&lt;0</formula>
    </cfRule>
    <cfRule type="expression" priority="19" aboveAverage="0" equalAverage="0" bottom="0" percent="0" rank="0" text="" dxfId="1">
      <formula>$G19&lt;1_สมมติฐานต้นทุน!$B$14</formula>
    </cfRule>
    <cfRule type="expression" priority="20" aboveAverage="0" equalAverage="0" bottom="0" percent="0" rank="0" text="" dxfId="2">
      <formula>$G19&lt;1_สมมติฐานต้นทุน!$B$15</formula>
    </cfRule>
    <cfRule type="expression" priority="21" aboveAverage="0" equalAverage="0" bottom="0" percent="0" rank="0" text="" dxfId="3">
      <formula>$G19&gt;=1_สมมติฐานต้นทุน!$B$15</formula>
    </cfRule>
  </conditionalFormatting>
  <conditionalFormatting sqref="D34:D36">
    <cfRule type="expression" priority="22" aboveAverage="0" equalAverage="0" bottom="0" percent="0" rank="0" text="" dxfId="1">
      <formula>$D34=0</formula>
    </cfRule>
  </conditionalFormatting>
  <conditionalFormatting sqref="F34:F36">
    <cfRule type="expression" priority="23" aboveAverage="0" equalAverage="0" bottom="0" percent="0" rank="0" text="" dxfId="1">
      <formula>$F34=0</formula>
    </cfRule>
  </conditionalFormatting>
  <conditionalFormatting sqref="D41:D44">
    <cfRule type="expression" priority="24" aboveAverage="0" equalAverage="0" bottom="0" percent="0" rank="0" text="" dxfId="4">
      <formula>$D41&lt;1_สมมติฐานต้นทุน!$B$14</formula>
    </cfRule>
    <cfRule type="expression" priority="25" aboveAverage="0" equalAverage="0" bottom="0" percent="0" rank="0" text="" dxfId="3">
      <formula>$D41&gt;=1_สมมติฐานต้นทุน!$B$14</formula>
    </cfRule>
  </conditionalFormatting>
  <conditionalFormatting sqref="E41:E44">
    <cfRule type="expression" priority="26" aboveAverage="0" equalAverage="0" bottom="0" percent="0" rank="0" text="" dxfId="4">
      <formula>$E41&lt;1_สมมติฐานต้นทุน!$B$14</formula>
    </cfRule>
    <cfRule type="expression" priority="27" aboveAverage="0" equalAverage="0" bottom="0" percent="0" rank="0" text="" dxfId="3">
      <formula>$E41&gt;=1_สมมติฐานต้นทุน!$B$14</formula>
    </cfRule>
  </conditionalFormatting>
  <conditionalFormatting sqref="F41:F44">
    <cfRule type="expression" priority="28" aboveAverage="0" equalAverage="0" bottom="0" percent="0" rank="0" text="" dxfId="4">
      <formula>$F41&lt;1_สมมติฐานต้นทุน!$B$14</formula>
    </cfRule>
    <cfRule type="expression" priority="29" aboveAverage="0" equalAverage="0" bottom="0" percent="0" rank="0" text="" dxfId="3">
      <formula>$F41&gt;=1_สมมติฐานต้นทุน!$B$14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62"/>
  </cols>
  <sheetData>
    <row r="1" customFormat="false" ht="25.5" hidden="false" customHeight="true" outlineLevel="0" collapsed="false">
      <c r="A1" s="9" t="s">
        <v>216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217</v>
      </c>
    </row>
    <row r="3" customFormat="false" ht="19.5" hidden="false" customHeight="true" outlineLevel="0" collapsed="false">
      <c r="A3" s="24" t="s">
        <v>218</v>
      </c>
      <c r="B3" s="24"/>
      <c r="C3" s="24"/>
      <c r="D3" s="24"/>
      <c r="E3" s="24"/>
      <c r="F3" s="25"/>
    </row>
    <row r="4" customFormat="false" ht="15" hidden="false" customHeight="false" outlineLevel="0" collapsed="false">
      <c r="A4" s="11" t="s">
        <v>219</v>
      </c>
      <c r="B4" s="54" t="s">
        <v>220</v>
      </c>
      <c r="E4" s="14"/>
    </row>
    <row r="5" customFormat="false" ht="15" hidden="false" customHeight="false" outlineLevel="0" collapsed="false">
      <c r="A5" s="11" t="s">
        <v>221</v>
      </c>
      <c r="B5" s="12" t="n">
        <v>2</v>
      </c>
      <c r="E5" s="14"/>
    </row>
    <row r="6" customFormat="false" ht="15" hidden="false" customHeight="false" outlineLevel="0" collapsed="false">
      <c r="A6" s="11" t="s">
        <v>222</v>
      </c>
      <c r="B6" s="12" t="n">
        <v>0</v>
      </c>
      <c r="E6" s="14"/>
    </row>
    <row r="7" customFormat="false" ht="15" hidden="false" customHeight="false" outlineLevel="0" collapsed="false">
      <c r="A7" s="11" t="s">
        <v>223</v>
      </c>
      <c r="B7" s="12" t="n">
        <v>0</v>
      </c>
      <c r="E7" s="14"/>
    </row>
    <row r="8" customFormat="false" ht="15" hidden="false" customHeight="false" outlineLevel="0" collapsed="false">
      <c r="A8" s="11" t="s">
        <v>224</v>
      </c>
      <c r="B8" s="23" t="s">
        <v>225</v>
      </c>
      <c r="E8" s="14" t="s">
        <v>226</v>
      </c>
    </row>
    <row r="9" customFormat="false" ht="15" hidden="false" customHeight="false" outlineLevel="0" collapsed="false">
      <c r="A9" s="11" t="s">
        <v>227</v>
      </c>
      <c r="B9" s="22" t="n">
        <v>45</v>
      </c>
      <c r="E9" s="14" t="s">
        <v>228</v>
      </c>
    </row>
    <row r="10" customFormat="false" ht="15" hidden="false" customHeight="false" outlineLevel="0" collapsed="false">
      <c r="A10" s="11" t="s">
        <v>229</v>
      </c>
      <c r="B10" s="12" t="n">
        <v>0</v>
      </c>
      <c r="E10" s="14"/>
    </row>
    <row r="11" customFormat="false" ht="15" hidden="false" customHeight="false" outlineLevel="0" collapsed="false">
      <c r="A11" s="11" t="s">
        <v>230</v>
      </c>
      <c r="B11" s="23" t="s">
        <v>231</v>
      </c>
      <c r="E11" s="14" t="s">
        <v>232</v>
      </c>
    </row>
    <row r="12" customFormat="false" ht="15" hidden="false" customHeight="false" outlineLevel="0" collapsed="false">
      <c r="A12" s="11" t="s">
        <v>233</v>
      </c>
      <c r="B12" s="23" t="s">
        <v>231</v>
      </c>
      <c r="E12" s="14" t="s">
        <v>234</v>
      </c>
    </row>
    <row r="13" customFormat="false" ht="15" hidden="false" customHeight="false" outlineLevel="0" collapsed="false">
      <c r="A13" s="11" t="s">
        <v>235</v>
      </c>
      <c r="B13" s="22" t="n">
        <v>2</v>
      </c>
      <c r="E13" s="14" t="s">
        <v>236</v>
      </c>
    </row>
    <row r="15" customFormat="false" ht="19.5" hidden="false" customHeight="true" outlineLevel="0" collapsed="false">
      <c r="A15" s="24" t="s">
        <v>237</v>
      </c>
      <c r="B15" s="24"/>
      <c r="C15" s="24"/>
      <c r="D15" s="24"/>
      <c r="E15" s="24"/>
      <c r="F15" s="25"/>
      <c r="G15" s="25"/>
    </row>
    <row r="16" customFormat="false" ht="15" hidden="false" customHeight="false" outlineLevel="0" collapsed="false">
      <c r="A16" s="4" t="s">
        <v>65</v>
      </c>
      <c r="B16" s="4" t="s">
        <v>238</v>
      </c>
      <c r="C16" s="4" t="s">
        <v>239</v>
      </c>
      <c r="D16" s="4" t="s">
        <v>240</v>
      </c>
      <c r="E16" s="4" t="s">
        <v>159</v>
      </c>
    </row>
    <row r="17" customFormat="false" ht="15" hidden="false" customHeight="false" outlineLevel="0" collapsed="false">
      <c r="A17" s="11" t="s">
        <v>241</v>
      </c>
      <c r="B17" s="55" t="n">
        <f aca="false">$B$5</f>
        <v>2</v>
      </c>
      <c r="C17" s="26" t="n">
        <f aca="false">INDEX(2_ราคาแพ็คเกจ!$B$5:$B$7,IFERROR(MATCH($B$8,Z_LISTS!$B$2:$B$4,0),2))</f>
        <v>4900</v>
      </c>
      <c r="D17" s="26" t="n">
        <f aca="false">B17*C17</f>
        <v>9800</v>
      </c>
      <c r="E17" s="36" t="s">
        <v>242</v>
      </c>
    </row>
    <row r="18" customFormat="false" ht="15" hidden="false" customHeight="false" outlineLevel="0" collapsed="false">
      <c r="A18" s="11" t="s">
        <v>243</v>
      </c>
      <c r="B18" s="55" t="n">
        <f aca="false">$B$6</f>
        <v>0</v>
      </c>
      <c r="C18" s="26" t="n">
        <f aca="false">2_ราคาแพ็คเกจ!$B$19*INDEX(2_ราคาแพ็คเกจ!$C$5:$C$7,IFERROR(MATCH($B$8,Z_LISTS!$B$2:$B$4,0),2))</f>
        <v>2600</v>
      </c>
      <c r="D18" s="26" t="n">
        <f aca="false">B18*C18</f>
        <v>0</v>
      </c>
      <c r="E18" s="36" t="s">
        <v>244</v>
      </c>
    </row>
    <row r="19" customFormat="false" ht="15" hidden="false" customHeight="false" outlineLevel="0" collapsed="false">
      <c r="A19" s="11" t="s">
        <v>245</v>
      </c>
      <c r="B19" s="55" t="n">
        <f aca="false">$B$7</f>
        <v>0</v>
      </c>
      <c r="C19" s="26" t="n">
        <f aca="false">2_ราคาแพ็คเกจ!$B$20*INDEX(2_ราคาแพ็คเกจ!$C$5:$C$7,IFERROR(MATCH($B$8,Z_LISTS!$B$2:$B$4,0),2))</f>
        <v>3400</v>
      </c>
      <c r="D19" s="26" t="n">
        <f aca="false">B19*C19</f>
        <v>0</v>
      </c>
      <c r="E19" s="36" t="s">
        <v>246</v>
      </c>
    </row>
    <row r="20" customFormat="false" ht="15" hidden="false" customHeight="false" outlineLevel="0" collapsed="false">
      <c r="A20" s="27" t="s">
        <v>247</v>
      </c>
      <c r="B20" s="56"/>
      <c r="C20" s="57"/>
      <c r="D20" s="28" t="n">
        <f aca="false">SUM(D17:D19)</f>
        <v>9800</v>
      </c>
      <c r="E20" s="58"/>
    </row>
    <row r="21" customFormat="false" ht="15" hidden="false" customHeight="false" outlineLevel="0" collapsed="false">
      <c r="A21" s="11" t="s">
        <v>248</v>
      </c>
      <c r="B21" s="55"/>
      <c r="C21" s="47" t="n">
        <f aca="false">INDEX(2_ราคาแพ็คเกจ!$B$24:$B$29,IFERROR(MATCH(MIN(MAX($B$5,1),6),2_ราคาแพ็คเกจ!$A$24:$A$29,0),1))</f>
        <v>0.1</v>
      </c>
      <c r="D21" s="26" t="n">
        <f aca="false">-ROUND(D20*C21,0)</f>
        <v>-980</v>
      </c>
      <c r="E21" s="36" t="s">
        <v>249</v>
      </c>
    </row>
    <row r="22" customFormat="false" ht="15" hidden="false" customHeight="false" outlineLevel="0" collapsed="false">
      <c r="A22" s="11" t="s">
        <v>250</v>
      </c>
      <c r="B22" s="55" t="n">
        <f aca="false">IF($B$11="ใช่",0,MAX(0,$B$9-30))</f>
        <v>15</v>
      </c>
      <c r="C22" s="26" t="n">
        <f aca="false">1_สมมติฐานต้นทุน!$B$11</f>
        <v>12</v>
      </c>
      <c r="D22" s="26" t="n">
        <f aca="false">ROUND(B22*C22*(INDEX(2_ราคาแพ็คเกจ!$C$5:$C$7,IFERROR(MATCH($B$8,Z_LISTS!$B$2:$B$4,0),2))+IF($B$5=0,0,INDEX(2_ราคาแพ็คเกจ!$C$24:$C$29,IFERROR(MATCH(MIN(MAX($B$5,1),6),2_ราคาแพ็คเกจ!$A$24:$A$29,0),1)))),0)</f>
        <v>720</v>
      </c>
      <c r="E22" s="36" t="s">
        <v>251</v>
      </c>
    </row>
    <row r="23" customFormat="false" ht="15" hidden="false" customHeight="false" outlineLevel="0" collapsed="false">
      <c r="A23" s="11" t="s">
        <v>252</v>
      </c>
      <c r="B23" s="55" t="n">
        <f aca="false">$B$10</f>
        <v>0</v>
      </c>
      <c r="C23" s="26" t="n">
        <f aca="false">1_สมมติฐานต้นทุน!$B$12</f>
        <v>1200</v>
      </c>
      <c r="D23" s="26" t="n">
        <f aca="false">B23*C23</f>
        <v>0</v>
      </c>
      <c r="E23" s="36"/>
    </row>
    <row r="24" customFormat="false" ht="15" hidden="false" customHeight="false" outlineLevel="0" collapsed="false">
      <c r="A24" s="11" t="s">
        <v>253</v>
      </c>
      <c r="B24" s="55" t="n">
        <f aca="false">$B$13</f>
        <v>2</v>
      </c>
      <c r="C24" s="26" t="n">
        <f aca="false">INDEX(2_ราคาแพ็คเกจ!$B$13:$B$15,IFERROR(MATCH($B$8,Z_LISTS!$B$2:$B$4,0),2))</f>
        <v>750</v>
      </c>
      <c r="D24" s="26" t="n">
        <f aca="false">B24*C24</f>
        <v>1500</v>
      </c>
      <c r="E24" s="36" t="s">
        <v>254</v>
      </c>
    </row>
    <row r="25" customFormat="false" ht="15" hidden="false" customHeight="false" outlineLevel="0" collapsed="false">
      <c r="A25" s="27" t="s">
        <v>255</v>
      </c>
      <c r="B25" s="56"/>
      <c r="C25" s="57"/>
      <c r="D25" s="28" t="n">
        <f aca="false">D20+D21+D22+D23+D24</f>
        <v>11040</v>
      </c>
      <c r="E25" s="58"/>
    </row>
    <row r="26" customFormat="false" ht="15" hidden="false" customHeight="false" outlineLevel="0" collapsed="false">
      <c r="A26" s="11" t="s">
        <v>256</v>
      </c>
      <c r="B26" s="55"/>
      <c r="C26" s="26"/>
      <c r="D26" s="26" t="n">
        <f aca="false">ROUND(D25*0.07,0)</f>
        <v>773</v>
      </c>
      <c r="E26" s="36"/>
    </row>
    <row r="27" customFormat="false" ht="15" hidden="false" customHeight="false" outlineLevel="0" collapsed="false">
      <c r="A27" s="31" t="s">
        <v>257</v>
      </c>
      <c r="B27" s="59"/>
      <c r="C27" s="51"/>
      <c r="D27" s="32" t="n">
        <f aca="false">D25+D26</f>
        <v>11813</v>
      </c>
      <c r="E27" s="60" t="s">
        <v>258</v>
      </c>
    </row>
    <row r="29" customFormat="false" ht="19.5" hidden="false" customHeight="true" outlineLevel="0" collapsed="false">
      <c r="A29" s="19" t="s">
        <v>259</v>
      </c>
      <c r="B29" s="19"/>
      <c r="C29" s="19"/>
      <c r="D29" s="19"/>
      <c r="E29" s="19"/>
      <c r="F29" s="20"/>
      <c r="G29" s="20"/>
      <c r="H29" s="20"/>
    </row>
    <row r="30" customFormat="false" ht="15" hidden="false" customHeight="false" outlineLevel="0" collapsed="false">
      <c r="A30" s="4" t="s">
        <v>65</v>
      </c>
      <c r="B30" s="4" t="s">
        <v>238</v>
      </c>
      <c r="C30" s="4" t="s">
        <v>260</v>
      </c>
      <c r="D30" s="4" t="s">
        <v>240</v>
      </c>
      <c r="E30" s="4" t="s">
        <v>159</v>
      </c>
    </row>
    <row r="31" customFormat="false" ht="15" hidden="false" customHeight="false" outlineLevel="0" collapsed="false">
      <c r="A31" s="11" t="s">
        <v>261</v>
      </c>
      <c r="B31" s="55" t="n">
        <f aca="false">$B$5*(INDEX(2_ราคาแพ็คเกจ!$C$5:$C$7,IFERROR(MATCH($B$8,Z_LISTS!$B$2:$B$4,0),2))+IF($B$5=0,0,INDEX(2_ราคาแพ็คเกจ!$C$24:$C$29,IFERROR(MATCH(MIN(MAX($B$5,1),6),2_ราคาแพ็คเกจ!$A$24:$A$29,0),1))))</f>
        <v>8</v>
      </c>
      <c r="C31" s="26" t="n">
        <f aca="false">1_สมมติฐานต้นทุน!$B$33</f>
        <v>738</v>
      </c>
      <c r="D31" s="26" t="n">
        <f aca="false">B31*C31</f>
        <v>5904</v>
      </c>
      <c r="E31" s="36" t="s">
        <v>262</v>
      </c>
    </row>
    <row r="32" customFormat="false" ht="15" hidden="false" customHeight="false" outlineLevel="0" collapsed="false">
      <c r="A32" s="11" t="s">
        <v>263</v>
      </c>
      <c r="B32" s="55" t="n">
        <f aca="false">($B$6+$B$7)*(INDEX(2_ราคาแพ็คเกจ!$C$5:$C$7,IFERROR(MATCH($B$8,Z_LISTS!$B$2:$B$4,0),2))+IF($B$5=0,0,INDEX(2_ราคาแพ็คเกจ!$C$24:$C$29,IFERROR(MATCH(MIN(MAX($B$5,1),6),2_ราคาแพ็คเกจ!$A$24:$A$29,0),1))))</f>
        <v>0</v>
      </c>
      <c r="C32" s="26" t="n">
        <f aca="false">IFERROR(($B$6*1_สมมติฐานต้นทุน!$B$31+$B$7*1_สมมติฐานต้นทุน!$B$32)/MAX($B$6+$B$7,1),0)</f>
        <v>0</v>
      </c>
      <c r="D32" s="26" t="n">
        <f aca="false">($B$6*1_สมมติฐานต้นทุน!$B$31+$B$7*1_สมมติฐานต้นทุน!$B$32)*(INDEX(2_ราคาแพ็คเกจ!$C$5:$C$7,IFERROR(MATCH($B$8,Z_LISTS!$B$2:$B$4,0),2))+IF($B$5=0,0,INDEX(2_ราคาแพ็คเกจ!$C$24:$C$29,IFERROR(MATCH(MIN(MAX($B$5,1),6),2_ราคาแพ็คเกจ!$A$24:$A$29,0),1))))</f>
        <v>0</v>
      </c>
      <c r="E32" s="36" t="s">
        <v>264</v>
      </c>
    </row>
    <row r="33" customFormat="false" ht="15" hidden="false" customHeight="false" outlineLevel="0" collapsed="false">
      <c r="A33" s="11" t="s">
        <v>265</v>
      </c>
      <c r="B33" s="55" t="n">
        <f aca="false">IF($B$11="ใช่",0,MAX(0,$B$9-30))</f>
        <v>15</v>
      </c>
      <c r="C33" s="26" t="n">
        <f aca="false">1_สมมติฐานต้นทุน!$B$22</f>
        <v>8</v>
      </c>
      <c r="D33" s="26" t="n">
        <f aca="false">ROUND(B33*C33*(INDEX(2_ราคาแพ็คเกจ!$C$5:$C$7,IFERROR(MATCH($B$8,Z_LISTS!$B$2:$B$4,0),2))+IF($B$5=0,0,INDEX(2_ราคาแพ็คเกจ!$C$24:$C$29,IFERROR(MATCH(MIN(MAX($B$5,1),6),2_ราคาแพ็คเกจ!$A$24:$A$29,0),1)))),0)</f>
        <v>480</v>
      </c>
      <c r="E33" s="36" t="s">
        <v>266</v>
      </c>
    </row>
    <row r="34" customFormat="false" ht="15" hidden="false" customHeight="false" outlineLevel="0" collapsed="false">
      <c r="A34" s="11" t="s">
        <v>267</v>
      </c>
      <c r="B34" s="55" t="n">
        <f aca="false">$B$10</f>
        <v>0</v>
      </c>
      <c r="C34" s="26" t="n">
        <f aca="false">1_สมมติฐานต้นทุน!$B$12</f>
        <v>1200</v>
      </c>
      <c r="D34" s="26" t="n">
        <f aca="false">B34*C34</f>
        <v>0</v>
      </c>
      <c r="E34" s="36" t="s">
        <v>268</v>
      </c>
    </row>
    <row r="35" customFormat="false" ht="15" hidden="false" customHeight="false" outlineLevel="0" collapsed="false">
      <c r="A35" s="11" t="s">
        <v>269</v>
      </c>
      <c r="B35" s="55" t="n">
        <f aca="false">$B$13</f>
        <v>2</v>
      </c>
      <c r="C35" s="26" t="n">
        <f aca="false">1_สมมติฐานต้นทุน!$B$19</f>
        <v>800</v>
      </c>
      <c r="D35" s="26" t="n">
        <f aca="false">B35*C35</f>
        <v>1600</v>
      </c>
      <c r="E35" s="36" t="s">
        <v>270</v>
      </c>
    </row>
    <row r="36" customFormat="false" ht="15" hidden="false" customHeight="false" outlineLevel="0" collapsed="false">
      <c r="A36" s="11" t="s">
        <v>271</v>
      </c>
      <c r="B36" s="55" t="n">
        <f aca="false">IF($B$8="Care Pro",$B$5,0)</f>
        <v>0</v>
      </c>
      <c r="C36" s="26" t="n">
        <f aca="false">1_สมมติฐานต้นทุน!$B$21</f>
        <v>600</v>
      </c>
      <c r="D36" s="26" t="n">
        <f aca="false">B36*C36</f>
        <v>0</v>
      </c>
      <c r="E36" s="36" t="s">
        <v>108</v>
      </c>
    </row>
    <row r="37" customFormat="false" ht="15" hidden="false" customHeight="false" outlineLevel="0" collapsed="false">
      <c r="A37" s="27" t="s">
        <v>272</v>
      </c>
      <c r="B37" s="56"/>
      <c r="C37" s="57"/>
      <c r="D37" s="28" t="n">
        <f aca="false">SUM(D31:D36)</f>
        <v>7984</v>
      </c>
      <c r="E37" s="58"/>
    </row>
    <row r="39" customFormat="false" ht="19.5" hidden="false" customHeight="true" outlineLevel="0" collapsed="false">
      <c r="A39" s="24" t="s">
        <v>273</v>
      </c>
      <c r="B39" s="24"/>
      <c r="C39" s="24"/>
      <c r="D39" s="24"/>
      <c r="E39" s="24"/>
      <c r="F39" s="25"/>
      <c r="G39" s="25"/>
      <c r="H39" s="25"/>
      <c r="I39" s="25"/>
    </row>
    <row r="40" customFormat="false" ht="15" hidden="false" customHeight="false" outlineLevel="0" collapsed="false">
      <c r="A40" s="16" t="s">
        <v>274</v>
      </c>
      <c r="B40" s="11"/>
      <c r="C40" s="11"/>
      <c r="D40" s="41" t="n">
        <f aca="false">D25-D37</f>
        <v>3056</v>
      </c>
      <c r="E40" s="36" t="s">
        <v>275</v>
      </c>
    </row>
    <row r="41" customFormat="false" ht="15" hidden="false" customHeight="false" outlineLevel="0" collapsed="false">
      <c r="A41" s="27" t="s">
        <v>276</v>
      </c>
      <c r="B41" s="61"/>
      <c r="C41" s="61"/>
      <c r="D41" s="38" t="n">
        <f aca="false">IFERROR((D25-D37)/D25,0)</f>
        <v>0.276811594202899</v>
      </c>
      <c r="E41" s="58"/>
    </row>
    <row r="42" customFormat="false" ht="15" hidden="false" customHeight="false" outlineLevel="0" collapsed="false">
      <c r="A42" s="16" t="s">
        <v>277</v>
      </c>
      <c r="B42" s="11"/>
      <c r="C42" s="11"/>
      <c r="D42" s="62" t="str">
        <f aca="false">IF(D41&gt;=1_สมมติฐานต้นทุน!$B$15,"ผ่านเป้าหมาย",IF(D41&gt;=1_สมมติฐานต้นทุน!$B$14,"รับได้ — ต่ำกว่าเป้า "&amp;TEXT(1_สมมติฐานต้นทุน!$B$15-D41,"0.0%"),"ต่ำกว่าขั้นต่ำ "&amp;TEXT(1_สมมติฐานต้นทุน!$B$14-D41,"0.0%")&amp;" — ทบทวนส่วนลดหรือปฏิเสธงาน"))</f>
        <v>ต่ำกว่าขั้นต่ำ 7.3% — ทบทวนส่วนลดหรือปฏิเสธงาน</v>
      </c>
      <c r="E42" s="36"/>
    </row>
    <row r="43" customFormat="false" ht="15" hidden="false" customHeight="false" outlineLevel="0" collapsed="false">
      <c r="A43" s="63" t="s">
        <v>278</v>
      </c>
      <c r="B43" s="64"/>
      <c r="C43" s="64"/>
      <c r="D43" s="44" t="n">
        <f aca="false">IFERROR(CEILING(D37/(1-1_สมมติฐานต้นทุน!$B$14),100),0)</f>
        <v>12300</v>
      </c>
      <c r="E43" s="65" t="s">
        <v>279</v>
      </c>
    </row>
    <row r="44" customFormat="false" ht="15" hidden="false" customHeight="false" outlineLevel="0" collapsed="false">
      <c r="A44" s="31" t="s">
        <v>280</v>
      </c>
      <c r="B44" s="66"/>
      <c r="C44" s="66"/>
      <c r="D44" s="32" t="n">
        <f aca="false">IFERROR(CEILING(D37/(1-1_สมมติฐานต้นทุน!$B$15),100),0)</f>
        <v>14600</v>
      </c>
      <c r="E44" s="60" t="s">
        <v>281</v>
      </c>
    </row>
    <row r="45" customFormat="false" ht="15" hidden="false" customHeight="false" outlineLevel="0" collapsed="false">
      <c r="A45" s="31" t="s">
        <v>282</v>
      </c>
      <c r="B45" s="66"/>
      <c r="C45" s="66"/>
      <c r="D45" s="67" t="n">
        <f aca="false">IFERROR(MAX(0,1-(D43-D22-D23-D24)/D20),0)</f>
        <v>0</v>
      </c>
      <c r="E45" s="60" t="s">
        <v>283</v>
      </c>
    </row>
    <row r="46" customFormat="false" ht="15" hidden="false" customHeight="false" outlineLevel="0" collapsed="false">
      <c r="A46" s="11" t="s">
        <v>284</v>
      </c>
      <c r="B46" s="11"/>
      <c r="C46" s="11"/>
      <c r="D46" s="68" t="str">
        <f aca="false">IF($B$5*2+$B$6+$B$7&gt;=6,"เครื่อง "&amp;($B$5*2+$B$6+$B$7)&amp;" ตัวในจุดเดียว — ควรเลือกฐาน 'งานกระจุกจุดเดียว' ที่ชีต 1 แถว 23","เครื่องน้อย — ใช้ค่าเฉลี่ยหรือฐาน Route ตามลักษณะงานจริง")</f>
        <v>เครื่องน้อย — ใช้ค่าเฉลี่ยหรือฐาน Route ตามลักษณะงานจริง</v>
      </c>
      <c r="E46" s="36"/>
    </row>
    <row r="48" customFormat="false" ht="19.5" hidden="false" customHeight="true" outlineLevel="0" collapsed="false">
      <c r="A48" s="24" t="s">
        <v>285</v>
      </c>
      <c r="B48" s="24"/>
      <c r="C48" s="24"/>
      <c r="D48" s="24"/>
      <c r="E48" s="24"/>
      <c r="F48" s="25"/>
      <c r="G48" s="25"/>
      <c r="H48" s="25"/>
      <c r="I48" s="25"/>
      <c r="J48" s="25"/>
    </row>
    <row r="49" customFormat="false" ht="15" hidden="false" customHeight="false" outlineLevel="0" collapsed="false">
      <c r="A49" s="11" t="s">
        <v>286</v>
      </c>
      <c r="B49" s="11"/>
      <c r="C49" s="11"/>
      <c r="D49" s="26" t="n">
        <f aca="false">ROUND(D25*3*0.85,0)</f>
        <v>28152</v>
      </c>
      <c r="E49" s="36" t="s">
        <v>287</v>
      </c>
    </row>
    <row r="50" customFormat="false" ht="15" hidden="false" customHeight="false" outlineLevel="0" collapsed="false">
      <c r="A50" s="11" t="s">
        <v>288</v>
      </c>
      <c r="B50" s="11"/>
      <c r="C50" s="11"/>
      <c r="D50" s="26" t="n">
        <f aca="false">D25*3-D49</f>
        <v>4968</v>
      </c>
      <c r="E50" s="36"/>
    </row>
    <row r="51" customFormat="false" ht="15" hidden="false" customHeight="false" outlineLevel="0" collapsed="false">
      <c r="A51" s="27" t="s">
        <v>289</v>
      </c>
      <c r="B51" s="61"/>
      <c r="C51" s="61"/>
      <c r="D51" s="38" t="n">
        <f aca="false">IFERROR((D49-D37*3)/D49,0)</f>
        <v>0.149190110826939</v>
      </c>
      <c r="E51" s="58" t="s">
        <v>290</v>
      </c>
    </row>
  </sheetData>
  <mergeCells count="16">
    <mergeCell ref="A1:E1"/>
    <mergeCell ref="A3:E3"/>
    <mergeCell ref="A15:E15"/>
    <mergeCell ref="A29:E29"/>
    <mergeCell ref="A39:E39"/>
    <mergeCell ref="B40:C40"/>
    <mergeCell ref="B41:C41"/>
    <mergeCell ref="B42:C42"/>
    <mergeCell ref="B43:C43"/>
    <mergeCell ref="B44:C44"/>
    <mergeCell ref="B45:C45"/>
    <mergeCell ref="B46:C46"/>
    <mergeCell ref="A48:E48"/>
    <mergeCell ref="B49:C49"/>
    <mergeCell ref="B50:C50"/>
    <mergeCell ref="B51:C51"/>
  </mergeCells>
  <conditionalFormatting sqref="D41">
    <cfRule type="expression" priority="2" aboveAverage="0" equalAverage="0" bottom="0" percent="0" rank="0" text="" dxfId="0">
      <formula>D41&lt;0</formula>
    </cfRule>
    <cfRule type="expression" priority="3" aboveAverage="0" equalAverage="0" bottom="0" percent="0" rank="0" text="" dxfId="1">
      <formula>D41&lt;1_สมมติฐานต้นทุน!$B$14</formula>
    </cfRule>
    <cfRule type="expression" priority="4" aboveAverage="0" equalAverage="0" bottom="0" percent="0" rank="0" text="" dxfId="2">
      <formula>D41&lt;1_สมมติฐานต้นทุน!$B$15</formula>
    </cfRule>
    <cfRule type="expression" priority="5" aboveAverage="0" equalAverage="0" bottom="0" percent="0" rank="0" text="" dxfId="3">
      <formula>D41&gt;=1_สมมติฐานต้นทุน!$B$15</formula>
    </cfRule>
  </conditionalFormatting>
  <conditionalFormatting sqref="D51">
    <cfRule type="expression" priority="6" aboveAverage="0" equalAverage="0" bottom="0" percent="0" rank="0" text="" dxfId="0">
      <formula>D51&lt;0</formula>
    </cfRule>
    <cfRule type="expression" priority="7" aboveAverage="0" equalAverage="0" bottom="0" percent="0" rank="0" text="" dxfId="1">
      <formula>D51&lt;1_สมมติฐานต้นทุน!$B$14</formula>
    </cfRule>
    <cfRule type="expression" priority="8" aboveAverage="0" equalAverage="0" bottom="0" percent="0" rank="0" text="" dxfId="2">
      <formula>D51&lt;1_สมมติฐานต้นทุน!$B$15</formula>
    </cfRule>
    <cfRule type="expression" priority="9" aboveAverage="0" equalAverage="0" bottom="0" percent="0" rank="0" text="" dxfId="3">
      <formula>D51&gt;=1_สมมติฐานต้นทุน!$B$15</formula>
    </cfRule>
  </conditionalFormatting>
  <dataValidations count="2">
    <dataValidation allowBlank="true" errorStyle="stop" operator="between" showDropDown="false" showErrorMessage="false" showInputMessage="false" sqref="B8" type="list">
      <formula1>Z_LISTS!$B$2:$B$4</formula1>
      <formula2>0</formula2>
    </dataValidation>
    <dataValidation allowBlank="true" errorStyle="stop" operator="between" showDropDown="false" showErrorMessage="false" showInputMessage="false" sqref="B11:B12" type="list">
      <formula1>Z_LISTS!$C$2:$C$3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S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6" min="10" style="0" width="12"/>
    <col collapsed="false" customWidth="true" hidden="false" outlineLevel="0" max="17" min="17" style="0" width="15"/>
    <col collapsed="false" customWidth="true" hidden="false" outlineLevel="0" max="18" min="18" style="0" width="12"/>
    <col collapsed="false" customWidth="true" hidden="false" outlineLevel="0" max="19" min="19" style="0" width="22"/>
  </cols>
  <sheetData>
    <row r="1" customFormat="false" ht="25.5" hidden="false" customHeight="true" outlineLevel="0" collapsed="false">
      <c r="A1" s="9" t="s">
        <v>291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0" t="s">
        <v>292</v>
      </c>
    </row>
    <row r="4" customFormat="false" ht="33.75" hidden="false" customHeight="true" outlineLevel="0" collapsed="false">
      <c r="A4" s="39" t="s">
        <v>293</v>
      </c>
      <c r="B4" s="39" t="s">
        <v>294</v>
      </c>
      <c r="C4" s="39" t="s">
        <v>295</v>
      </c>
      <c r="D4" s="39" t="s">
        <v>200</v>
      </c>
      <c r="E4" s="39" t="s">
        <v>188</v>
      </c>
      <c r="F4" s="39" t="s">
        <v>296</v>
      </c>
      <c r="G4" s="39" t="s">
        <v>297</v>
      </c>
      <c r="H4" s="39" t="s">
        <v>298</v>
      </c>
      <c r="I4" s="39" t="s">
        <v>299</v>
      </c>
      <c r="J4" s="39" t="s">
        <v>300</v>
      </c>
      <c r="K4" s="39" t="s">
        <v>301</v>
      </c>
      <c r="L4" s="39" t="s">
        <v>302</v>
      </c>
      <c r="M4" s="39" t="s">
        <v>303</v>
      </c>
      <c r="N4" s="39" t="s">
        <v>304</v>
      </c>
      <c r="O4" s="39" t="s">
        <v>305</v>
      </c>
      <c r="P4" s="39" t="s">
        <v>306</v>
      </c>
      <c r="Q4" s="39" t="s">
        <v>307</v>
      </c>
      <c r="R4" s="39" t="s">
        <v>308</v>
      </c>
      <c r="S4" s="39" t="s">
        <v>309</v>
      </c>
    </row>
    <row r="5" customFormat="false" ht="15" hidden="false" customHeight="false" outlineLevel="0" collapsed="false">
      <c r="A5" s="54" t="s">
        <v>310</v>
      </c>
      <c r="B5" s="54" t="s">
        <v>311</v>
      </c>
      <c r="C5" s="54" t="s">
        <v>312</v>
      </c>
      <c r="D5" s="23" t="s">
        <v>225</v>
      </c>
      <c r="E5" s="12" t="n">
        <v>2</v>
      </c>
      <c r="F5" s="26" t="n">
        <f aca="false">IF(E5="","",E5*2)</f>
        <v>4</v>
      </c>
      <c r="G5" s="69" t="n">
        <f aca="false">IF(D5="","",IF(D5="Care",2,4)+IF(N(E5)&gt;=6,1,0))</f>
        <v>4</v>
      </c>
      <c r="H5" s="70" t="n">
        <v>46235</v>
      </c>
      <c r="I5" s="71" t="n">
        <f aca="false">IF(H5="","",H5+364)</f>
        <v>46599</v>
      </c>
      <c r="J5" s="70" t="n">
        <v>46239</v>
      </c>
      <c r="K5" s="70"/>
      <c r="L5" s="70"/>
      <c r="M5" s="70"/>
      <c r="N5" s="70"/>
      <c r="O5" s="69" t="n">
        <f aca="false">COUNT(J5:N5)</f>
        <v>1</v>
      </c>
      <c r="P5" s="69" t="n">
        <f aca="false">IF(D5="","",G5-O5)</f>
        <v>3</v>
      </c>
      <c r="Q5" s="71" t="n">
        <f aca="false">IF(OR(H5="",N(P5)&lt;=0),"",IF(O5=0,H5+7,MAX(J5:N5)+IF(D5="Care",182,91)))</f>
        <v>46330</v>
      </c>
      <c r="R5" s="69" t="n">
        <f aca="true">IF(Q5="","",Q5-TODAY())</f>
        <v>46</v>
      </c>
      <c r="S5" s="49" t="str">
        <f aca="false">IF(A5="","",IF(Q5="","ครบรอบตามสัญญาแล้ว",IF(R5&lt;0,"เกินกำหนด "&amp;ABS(R5)&amp;" วัน",IF(R5&lt;=14,"ใกล้ถึงกำหนด","ปกติ"))))</f>
        <v>ปกติ</v>
      </c>
    </row>
    <row r="6" customFormat="false" ht="15" hidden="false" customHeight="false" outlineLevel="0" collapsed="false">
      <c r="A6" s="54"/>
      <c r="B6" s="54"/>
      <c r="C6" s="54"/>
      <c r="D6" s="23"/>
      <c r="E6" s="12"/>
      <c r="F6" s="26" t="str">
        <f aca="false">IF(E6="","",E6*2)</f>
        <v/>
      </c>
      <c r="G6" s="69" t="str">
        <f aca="false">IF(D6="","",IF(D6="Care",2,4)+IF(N(E6)&gt;=6,1,0))</f>
        <v/>
      </c>
      <c r="H6" s="70"/>
      <c r="I6" s="71" t="str">
        <f aca="false">IF(H6="","",H6+364)</f>
        <v/>
      </c>
      <c r="J6" s="70"/>
      <c r="K6" s="70"/>
      <c r="L6" s="70"/>
      <c r="M6" s="70"/>
      <c r="N6" s="70"/>
      <c r="O6" s="69" t="n">
        <f aca="false">COUNT(J6:N6)</f>
        <v>0</v>
      </c>
      <c r="P6" s="69" t="str">
        <f aca="false">IF(D6="","",G6-O6)</f>
        <v/>
      </c>
      <c r="Q6" s="71" t="str">
        <f aca="false">IF(OR(H6="",N(P6)&lt;=0),"",IF(O6=0,H6+7,MAX(J6:N6)+IF(D6="Care",182,91)))</f>
        <v/>
      </c>
      <c r="R6" s="69" t="str">
        <f aca="true">IF(Q6="","",Q6-TODAY())</f>
        <v/>
      </c>
      <c r="S6" s="49" t="str">
        <f aca="false">IF(A6="","",IF(Q6="","ครบรอบตามสัญญาแล้ว",IF(R6&lt;0,"เกินกำหนด "&amp;ABS(R6)&amp;" วัน",IF(R6&lt;=14,"ใกล้ถึงกำหนด","ปกติ"))))</f>
        <v/>
      </c>
    </row>
    <row r="7" customFormat="false" ht="15" hidden="false" customHeight="false" outlineLevel="0" collapsed="false">
      <c r="A7" s="54"/>
      <c r="B7" s="54"/>
      <c r="C7" s="54"/>
      <c r="D7" s="23"/>
      <c r="E7" s="12"/>
      <c r="F7" s="26" t="str">
        <f aca="false">IF(E7="","",E7*2)</f>
        <v/>
      </c>
      <c r="G7" s="69" t="str">
        <f aca="false">IF(D7="","",IF(D7="Care",2,4)+IF(N(E7)&gt;=6,1,0))</f>
        <v/>
      </c>
      <c r="H7" s="70"/>
      <c r="I7" s="71" t="str">
        <f aca="false">IF(H7="","",H7+364)</f>
        <v/>
      </c>
      <c r="J7" s="70"/>
      <c r="K7" s="70"/>
      <c r="L7" s="70"/>
      <c r="M7" s="70"/>
      <c r="N7" s="70"/>
      <c r="O7" s="69" t="n">
        <f aca="false">COUNT(J7:N7)</f>
        <v>0</v>
      </c>
      <c r="P7" s="69" t="str">
        <f aca="false">IF(D7="","",G7-O7)</f>
        <v/>
      </c>
      <c r="Q7" s="71" t="str">
        <f aca="false">IF(OR(H7="",N(P7)&lt;=0),"",IF(O7=0,H7+7,MAX(J7:N7)+IF(D7="Care",182,91)))</f>
        <v/>
      </c>
      <c r="R7" s="69" t="str">
        <f aca="true">IF(Q7="","",Q7-TODAY())</f>
        <v/>
      </c>
      <c r="S7" s="49" t="str">
        <f aca="false">IF(A7="","",IF(Q7="","ครบรอบตามสัญญาแล้ว",IF(R7&lt;0,"เกินกำหนด "&amp;ABS(R7)&amp;" วัน",IF(R7&lt;=14,"ใกล้ถึงกำหนด","ปกติ"))))</f>
        <v/>
      </c>
    </row>
    <row r="8" customFormat="false" ht="15" hidden="false" customHeight="false" outlineLevel="0" collapsed="false">
      <c r="A8" s="54"/>
      <c r="B8" s="54"/>
      <c r="C8" s="54"/>
      <c r="D8" s="23"/>
      <c r="E8" s="12"/>
      <c r="F8" s="26" t="str">
        <f aca="false">IF(E8="","",E8*2)</f>
        <v/>
      </c>
      <c r="G8" s="69" t="str">
        <f aca="false">IF(D8="","",IF(D8="Care",2,4)+IF(N(E8)&gt;=6,1,0))</f>
        <v/>
      </c>
      <c r="H8" s="70"/>
      <c r="I8" s="71" t="str">
        <f aca="false">IF(H8="","",H8+364)</f>
        <v/>
      </c>
      <c r="J8" s="70"/>
      <c r="K8" s="70"/>
      <c r="L8" s="70"/>
      <c r="M8" s="70"/>
      <c r="N8" s="70"/>
      <c r="O8" s="69" t="n">
        <f aca="false">COUNT(J8:N8)</f>
        <v>0</v>
      </c>
      <c r="P8" s="69" t="str">
        <f aca="false">IF(D8="","",G8-O8)</f>
        <v/>
      </c>
      <c r="Q8" s="71" t="str">
        <f aca="false">IF(OR(H8="",N(P8)&lt;=0),"",IF(O8=0,H8+7,MAX(J8:N8)+IF(D8="Care",182,91)))</f>
        <v/>
      </c>
      <c r="R8" s="69" t="str">
        <f aca="true">IF(Q8="","",Q8-TODAY())</f>
        <v/>
      </c>
      <c r="S8" s="49" t="str">
        <f aca="false">IF(A8="","",IF(Q8="","ครบรอบตามสัญญาแล้ว",IF(R8&lt;0,"เกินกำหนด "&amp;ABS(R8)&amp;" วัน",IF(R8&lt;=14,"ใกล้ถึงกำหนด","ปกติ"))))</f>
        <v/>
      </c>
    </row>
    <row r="9" customFormat="false" ht="15" hidden="false" customHeight="false" outlineLevel="0" collapsed="false">
      <c r="A9" s="54"/>
      <c r="B9" s="54"/>
      <c r="C9" s="54"/>
      <c r="D9" s="23"/>
      <c r="E9" s="12"/>
      <c r="F9" s="26" t="str">
        <f aca="false">IF(E9="","",E9*2)</f>
        <v/>
      </c>
      <c r="G9" s="69" t="str">
        <f aca="false">IF(D9="","",IF(D9="Care",2,4)+IF(N(E9)&gt;=6,1,0))</f>
        <v/>
      </c>
      <c r="H9" s="70"/>
      <c r="I9" s="71" t="str">
        <f aca="false">IF(H9="","",H9+364)</f>
        <v/>
      </c>
      <c r="J9" s="70"/>
      <c r="K9" s="70"/>
      <c r="L9" s="70"/>
      <c r="M9" s="70"/>
      <c r="N9" s="70"/>
      <c r="O9" s="69" t="n">
        <f aca="false">COUNT(J9:N9)</f>
        <v>0</v>
      </c>
      <c r="P9" s="69" t="str">
        <f aca="false">IF(D9="","",G9-O9)</f>
        <v/>
      </c>
      <c r="Q9" s="71" t="str">
        <f aca="false">IF(OR(H9="",N(P9)&lt;=0),"",IF(O9=0,H9+7,MAX(J9:N9)+IF(D9="Care",182,91)))</f>
        <v/>
      </c>
      <c r="R9" s="69" t="str">
        <f aca="true">IF(Q9="","",Q9-TODAY())</f>
        <v/>
      </c>
      <c r="S9" s="49" t="str">
        <f aca="false">IF(A9="","",IF(Q9="","ครบรอบตามสัญญาแล้ว",IF(R9&lt;0,"เกินกำหนด "&amp;ABS(R9)&amp;" วัน",IF(R9&lt;=14,"ใกล้ถึงกำหนด","ปกติ"))))</f>
        <v/>
      </c>
    </row>
    <row r="10" customFormat="false" ht="15" hidden="false" customHeight="false" outlineLevel="0" collapsed="false">
      <c r="A10" s="54"/>
      <c r="B10" s="54"/>
      <c r="C10" s="54"/>
      <c r="D10" s="23"/>
      <c r="E10" s="12"/>
      <c r="F10" s="26" t="str">
        <f aca="false">IF(E10="","",E10*2)</f>
        <v/>
      </c>
      <c r="G10" s="69" t="str">
        <f aca="false">IF(D10="","",IF(D10="Care",2,4)+IF(N(E10)&gt;=6,1,0))</f>
        <v/>
      </c>
      <c r="H10" s="70"/>
      <c r="I10" s="71" t="str">
        <f aca="false">IF(H10="","",H10+364)</f>
        <v/>
      </c>
      <c r="J10" s="70"/>
      <c r="K10" s="70"/>
      <c r="L10" s="70"/>
      <c r="M10" s="70"/>
      <c r="N10" s="70"/>
      <c r="O10" s="69" t="n">
        <f aca="false">COUNT(J10:N10)</f>
        <v>0</v>
      </c>
      <c r="P10" s="69" t="str">
        <f aca="false">IF(D10="","",G10-O10)</f>
        <v/>
      </c>
      <c r="Q10" s="71" t="str">
        <f aca="false">IF(OR(H10="",N(P10)&lt;=0),"",IF(O10=0,H10+7,MAX(J10:N10)+IF(D10="Care",182,91)))</f>
        <v/>
      </c>
      <c r="R10" s="69" t="str">
        <f aca="true">IF(Q10="","",Q10-TODAY())</f>
        <v/>
      </c>
      <c r="S10" s="49" t="str">
        <f aca="false">IF(A10="","",IF(Q10="","ครบรอบตามสัญญาแล้ว",IF(R10&lt;0,"เกินกำหนด "&amp;ABS(R10)&amp;" วัน",IF(R10&lt;=14,"ใกล้ถึงกำหนด","ปกติ"))))</f>
        <v/>
      </c>
    </row>
    <row r="11" customFormat="false" ht="15" hidden="false" customHeight="false" outlineLevel="0" collapsed="false">
      <c r="A11" s="54"/>
      <c r="B11" s="54"/>
      <c r="C11" s="54"/>
      <c r="D11" s="23"/>
      <c r="E11" s="12"/>
      <c r="F11" s="26" t="str">
        <f aca="false">IF(E11="","",E11*2)</f>
        <v/>
      </c>
      <c r="G11" s="69" t="str">
        <f aca="false">IF(D11="","",IF(D11="Care",2,4)+IF(N(E11)&gt;=6,1,0))</f>
        <v/>
      </c>
      <c r="H11" s="70"/>
      <c r="I11" s="71" t="str">
        <f aca="false">IF(H11="","",H11+364)</f>
        <v/>
      </c>
      <c r="J11" s="70"/>
      <c r="K11" s="70"/>
      <c r="L11" s="70"/>
      <c r="M11" s="70"/>
      <c r="N11" s="70"/>
      <c r="O11" s="69" t="n">
        <f aca="false">COUNT(J11:N11)</f>
        <v>0</v>
      </c>
      <c r="P11" s="69" t="str">
        <f aca="false">IF(D11="","",G11-O11)</f>
        <v/>
      </c>
      <c r="Q11" s="71" t="str">
        <f aca="false">IF(OR(H11="",N(P11)&lt;=0),"",IF(O11=0,H11+7,MAX(J11:N11)+IF(D11="Care",182,91)))</f>
        <v/>
      </c>
      <c r="R11" s="69" t="str">
        <f aca="true">IF(Q11="","",Q11-TODAY())</f>
        <v/>
      </c>
      <c r="S11" s="49" t="str">
        <f aca="false">IF(A11="","",IF(Q11="","ครบรอบตามสัญญาแล้ว",IF(R11&lt;0,"เกินกำหนด "&amp;ABS(R11)&amp;" วัน",IF(R11&lt;=14,"ใกล้ถึงกำหนด","ปกติ"))))</f>
        <v/>
      </c>
    </row>
    <row r="12" customFormat="false" ht="15" hidden="false" customHeight="false" outlineLevel="0" collapsed="false">
      <c r="A12" s="54"/>
      <c r="B12" s="54"/>
      <c r="C12" s="54"/>
      <c r="D12" s="23"/>
      <c r="E12" s="12"/>
      <c r="F12" s="26" t="str">
        <f aca="false">IF(E12="","",E12*2)</f>
        <v/>
      </c>
      <c r="G12" s="69" t="str">
        <f aca="false">IF(D12="","",IF(D12="Care",2,4)+IF(N(E12)&gt;=6,1,0))</f>
        <v/>
      </c>
      <c r="H12" s="70"/>
      <c r="I12" s="71" t="str">
        <f aca="false">IF(H12="","",H12+364)</f>
        <v/>
      </c>
      <c r="J12" s="70"/>
      <c r="K12" s="70"/>
      <c r="L12" s="70"/>
      <c r="M12" s="70"/>
      <c r="N12" s="70"/>
      <c r="O12" s="69" t="n">
        <f aca="false">COUNT(J12:N12)</f>
        <v>0</v>
      </c>
      <c r="P12" s="69" t="str">
        <f aca="false">IF(D12="","",G12-O12)</f>
        <v/>
      </c>
      <c r="Q12" s="71" t="str">
        <f aca="false">IF(OR(H12="",N(P12)&lt;=0),"",IF(O12=0,H12+7,MAX(J12:N12)+IF(D12="Care",182,91)))</f>
        <v/>
      </c>
      <c r="R12" s="69" t="str">
        <f aca="true">IF(Q12="","",Q12-TODAY())</f>
        <v/>
      </c>
      <c r="S12" s="49" t="str">
        <f aca="false">IF(A12="","",IF(Q12="","ครบรอบตามสัญญาแล้ว",IF(R12&lt;0,"เกินกำหนด "&amp;ABS(R12)&amp;" วัน",IF(R12&lt;=14,"ใกล้ถึงกำหนด","ปกติ"))))</f>
        <v/>
      </c>
    </row>
    <row r="13" customFormat="false" ht="15" hidden="false" customHeight="false" outlineLevel="0" collapsed="false">
      <c r="A13" s="54"/>
      <c r="B13" s="54"/>
      <c r="C13" s="54"/>
      <c r="D13" s="23"/>
      <c r="E13" s="12"/>
      <c r="F13" s="26" t="str">
        <f aca="false">IF(E13="","",E13*2)</f>
        <v/>
      </c>
      <c r="G13" s="69" t="str">
        <f aca="false">IF(D13="","",IF(D13="Care",2,4)+IF(N(E13)&gt;=6,1,0))</f>
        <v/>
      </c>
      <c r="H13" s="70"/>
      <c r="I13" s="71" t="str">
        <f aca="false">IF(H13="","",H13+364)</f>
        <v/>
      </c>
      <c r="J13" s="70"/>
      <c r="K13" s="70"/>
      <c r="L13" s="70"/>
      <c r="M13" s="70"/>
      <c r="N13" s="70"/>
      <c r="O13" s="69" t="n">
        <f aca="false">COUNT(J13:N13)</f>
        <v>0</v>
      </c>
      <c r="P13" s="69" t="str">
        <f aca="false">IF(D13="","",G13-O13)</f>
        <v/>
      </c>
      <c r="Q13" s="71" t="str">
        <f aca="false">IF(OR(H13="",N(P13)&lt;=0),"",IF(O13=0,H13+7,MAX(J13:N13)+IF(D13="Care",182,91)))</f>
        <v/>
      </c>
      <c r="R13" s="69" t="str">
        <f aca="true">IF(Q13="","",Q13-TODAY())</f>
        <v/>
      </c>
      <c r="S13" s="49" t="str">
        <f aca="false">IF(A13="","",IF(Q13="","ครบรอบตามสัญญาแล้ว",IF(R13&lt;0,"เกินกำหนด "&amp;ABS(R13)&amp;" วัน",IF(R13&lt;=14,"ใกล้ถึงกำหนด","ปกติ"))))</f>
        <v/>
      </c>
    </row>
    <row r="14" customFormat="false" ht="15" hidden="false" customHeight="false" outlineLevel="0" collapsed="false">
      <c r="A14" s="54"/>
      <c r="B14" s="54"/>
      <c r="C14" s="54"/>
      <c r="D14" s="23"/>
      <c r="E14" s="12"/>
      <c r="F14" s="26" t="str">
        <f aca="false">IF(E14="","",E14*2)</f>
        <v/>
      </c>
      <c r="G14" s="69" t="str">
        <f aca="false">IF(D14="","",IF(D14="Care",2,4)+IF(N(E14)&gt;=6,1,0))</f>
        <v/>
      </c>
      <c r="H14" s="70"/>
      <c r="I14" s="71" t="str">
        <f aca="false">IF(H14="","",H14+364)</f>
        <v/>
      </c>
      <c r="J14" s="70"/>
      <c r="K14" s="70"/>
      <c r="L14" s="70"/>
      <c r="M14" s="70"/>
      <c r="N14" s="70"/>
      <c r="O14" s="69" t="n">
        <f aca="false">COUNT(J14:N14)</f>
        <v>0</v>
      </c>
      <c r="P14" s="69" t="str">
        <f aca="false">IF(D14="","",G14-O14)</f>
        <v/>
      </c>
      <c r="Q14" s="71" t="str">
        <f aca="false">IF(OR(H14="",N(P14)&lt;=0),"",IF(O14=0,H14+7,MAX(J14:N14)+IF(D14="Care",182,91)))</f>
        <v/>
      </c>
      <c r="R14" s="69" t="str">
        <f aca="true">IF(Q14="","",Q14-TODAY())</f>
        <v/>
      </c>
      <c r="S14" s="49" t="str">
        <f aca="false">IF(A14="","",IF(Q14="","ครบรอบตามสัญญาแล้ว",IF(R14&lt;0,"เกินกำหนด "&amp;ABS(R14)&amp;" วัน",IF(R14&lt;=14,"ใกล้ถึงกำหนด","ปกติ"))))</f>
        <v/>
      </c>
    </row>
    <row r="15" customFormat="false" ht="15" hidden="false" customHeight="false" outlineLevel="0" collapsed="false">
      <c r="A15" s="54"/>
      <c r="B15" s="54"/>
      <c r="C15" s="54"/>
      <c r="D15" s="23"/>
      <c r="E15" s="12"/>
      <c r="F15" s="26" t="str">
        <f aca="false">IF(E15="","",E15*2)</f>
        <v/>
      </c>
      <c r="G15" s="69" t="str">
        <f aca="false">IF(D15="","",IF(D15="Care",2,4)+IF(N(E15)&gt;=6,1,0))</f>
        <v/>
      </c>
      <c r="H15" s="70"/>
      <c r="I15" s="71" t="str">
        <f aca="false">IF(H15="","",H15+364)</f>
        <v/>
      </c>
      <c r="J15" s="70"/>
      <c r="K15" s="70"/>
      <c r="L15" s="70"/>
      <c r="M15" s="70"/>
      <c r="N15" s="70"/>
      <c r="O15" s="69" t="n">
        <f aca="false">COUNT(J15:N15)</f>
        <v>0</v>
      </c>
      <c r="P15" s="69" t="str">
        <f aca="false">IF(D15="","",G15-O15)</f>
        <v/>
      </c>
      <c r="Q15" s="71" t="str">
        <f aca="false">IF(OR(H15="",N(P15)&lt;=0),"",IF(O15=0,H15+7,MAX(J15:N15)+IF(D15="Care",182,91)))</f>
        <v/>
      </c>
      <c r="R15" s="69" t="str">
        <f aca="true">IF(Q15="","",Q15-TODAY())</f>
        <v/>
      </c>
      <c r="S15" s="49" t="str">
        <f aca="false">IF(A15="","",IF(Q15="","ครบรอบตามสัญญาแล้ว",IF(R15&lt;0,"เกินกำหนด "&amp;ABS(R15)&amp;" วัน",IF(R15&lt;=14,"ใกล้ถึงกำหนด","ปกติ"))))</f>
        <v/>
      </c>
    </row>
    <row r="16" customFormat="false" ht="15" hidden="false" customHeight="false" outlineLevel="0" collapsed="false">
      <c r="A16" s="54"/>
      <c r="B16" s="54"/>
      <c r="C16" s="54"/>
      <c r="D16" s="23"/>
      <c r="E16" s="12"/>
      <c r="F16" s="26" t="str">
        <f aca="false">IF(E16="","",E16*2)</f>
        <v/>
      </c>
      <c r="G16" s="69" t="str">
        <f aca="false">IF(D16="","",IF(D16="Care",2,4)+IF(N(E16)&gt;=6,1,0))</f>
        <v/>
      </c>
      <c r="H16" s="70"/>
      <c r="I16" s="71" t="str">
        <f aca="false">IF(H16="","",H16+364)</f>
        <v/>
      </c>
      <c r="J16" s="70"/>
      <c r="K16" s="70"/>
      <c r="L16" s="70"/>
      <c r="M16" s="70"/>
      <c r="N16" s="70"/>
      <c r="O16" s="69" t="n">
        <f aca="false">COUNT(J16:N16)</f>
        <v>0</v>
      </c>
      <c r="P16" s="69" t="str">
        <f aca="false">IF(D16="","",G16-O16)</f>
        <v/>
      </c>
      <c r="Q16" s="71" t="str">
        <f aca="false">IF(OR(H16="",N(P16)&lt;=0),"",IF(O16=0,H16+7,MAX(J16:N16)+IF(D16="Care",182,91)))</f>
        <v/>
      </c>
      <c r="R16" s="69" t="str">
        <f aca="true">IF(Q16="","",Q16-TODAY())</f>
        <v/>
      </c>
      <c r="S16" s="49" t="str">
        <f aca="false">IF(A16="","",IF(Q16="","ครบรอบตามสัญญาแล้ว",IF(R16&lt;0,"เกินกำหนด "&amp;ABS(R16)&amp;" วัน",IF(R16&lt;=14,"ใกล้ถึงกำหนด","ปกติ"))))</f>
        <v/>
      </c>
    </row>
    <row r="17" customFormat="false" ht="15" hidden="false" customHeight="false" outlineLevel="0" collapsed="false">
      <c r="A17" s="54"/>
      <c r="B17" s="54"/>
      <c r="C17" s="54"/>
      <c r="D17" s="23"/>
      <c r="E17" s="12"/>
      <c r="F17" s="26" t="str">
        <f aca="false">IF(E17="","",E17*2)</f>
        <v/>
      </c>
      <c r="G17" s="69" t="str">
        <f aca="false">IF(D17="","",IF(D17="Care",2,4)+IF(N(E17)&gt;=6,1,0))</f>
        <v/>
      </c>
      <c r="H17" s="70"/>
      <c r="I17" s="71" t="str">
        <f aca="false">IF(H17="","",H17+364)</f>
        <v/>
      </c>
      <c r="J17" s="70"/>
      <c r="K17" s="70"/>
      <c r="L17" s="70"/>
      <c r="M17" s="70"/>
      <c r="N17" s="70"/>
      <c r="O17" s="69" t="n">
        <f aca="false">COUNT(J17:N17)</f>
        <v>0</v>
      </c>
      <c r="P17" s="69" t="str">
        <f aca="false">IF(D17="","",G17-O17)</f>
        <v/>
      </c>
      <c r="Q17" s="71" t="str">
        <f aca="false">IF(OR(H17="",N(P17)&lt;=0),"",IF(O17=0,H17+7,MAX(J17:N17)+IF(D17="Care",182,91)))</f>
        <v/>
      </c>
      <c r="R17" s="69" t="str">
        <f aca="true">IF(Q17="","",Q17-TODAY())</f>
        <v/>
      </c>
      <c r="S17" s="49" t="str">
        <f aca="false">IF(A17="","",IF(Q17="","ครบรอบตามสัญญาแล้ว",IF(R17&lt;0,"เกินกำหนด "&amp;ABS(R17)&amp;" วัน",IF(R17&lt;=14,"ใกล้ถึงกำหนด","ปกติ"))))</f>
        <v/>
      </c>
    </row>
    <row r="18" customFormat="false" ht="15" hidden="false" customHeight="false" outlineLevel="0" collapsed="false">
      <c r="A18" s="54"/>
      <c r="B18" s="54"/>
      <c r="C18" s="54"/>
      <c r="D18" s="23"/>
      <c r="E18" s="12"/>
      <c r="F18" s="26" t="str">
        <f aca="false">IF(E18="","",E18*2)</f>
        <v/>
      </c>
      <c r="G18" s="69" t="str">
        <f aca="false">IF(D18="","",IF(D18="Care",2,4)+IF(N(E18)&gt;=6,1,0))</f>
        <v/>
      </c>
      <c r="H18" s="70"/>
      <c r="I18" s="71" t="str">
        <f aca="false">IF(H18="","",H18+364)</f>
        <v/>
      </c>
      <c r="J18" s="70"/>
      <c r="K18" s="70"/>
      <c r="L18" s="70"/>
      <c r="M18" s="70"/>
      <c r="N18" s="70"/>
      <c r="O18" s="69" t="n">
        <f aca="false">COUNT(J18:N18)</f>
        <v>0</v>
      </c>
      <c r="P18" s="69" t="str">
        <f aca="false">IF(D18="","",G18-O18)</f>
        <v/>
      </c>
      <c r="Q18" s="71" t="str">
        <f aca="false">IF(OR(H18="",N(P18)&lt;=0),"",IF(O18=0,H18+7,MAX(J18:N18)+IF(D18="Care",182,91)))</f>
        <v/>
      </c>
      <c r="R18" s="69" t="str">
        <f aca="true">IF(Q18="","",Q18-TODAY())</f>
        <v/>
      </c>
      <c r="S18" s="49" t="str">
        <f aca="false">IF(A18="","",IF(Q18="","ครบรอบตามสัญญาแล้ว",IF(R18&lt;0,"เกินกำหนด "&amp;ABS(R18)&amp;" วัน",IF(R18&lt;=14,"ใกล้ถึงกำหนด","ปกติ"))))</f>
        <v/>
      </c>
    </row>
    <row r="19" customFormat="false" ht="15" hidden="false" customHeight="false" outlineLevel="0" collapsed="false">
      <c r="A19" s="54"/>
      <c r="B19" s="54"/>
      <c r="C19" s="54"/>
      <c r="D19" s="23"/>
      <c r="E19" s="12"/>
      <c r="F19" s="26" t="str">
        <f aca="false">IF(E19="","",E19*2)</f>
        <v/>
      </c>
      <c r="G19" s="69" t="str">
        <f aca="false">IF(D19="","",IF(D19="Care",2,4)+IF(N(E19)&gt;=6,1,0))</f>
        <v/>
      </c>
      <c r="H19" s="70"/>
      <c r="I19" s="71" t="str">
        <f aca="false">IF(H19="","",H19+364)</f>
        <v/>
      </c>
      <c r="J19" s="70"/>
      <c r="K19" s="70"/>
      <c r="L19" s="70"/>
      <c r="M19" s="70"/>
      <c r="N19" s="70"/>
      <c r="O19" s="69" t="n">
        <f aca="false">COUNT(J19:N19)</f>
        <v>0</v>
      </c>
      <c r="P19" s="69" t="str">
        <f aca="false">IF(D19="","",G19-O19)</f>
        <v/>
      </c>
      <c r="Q19" s="71" t="str">
        <f aca="false">IF(OR(H19="",N(P19)&lt;=0),"",IF(O19=0,H19+7,MAX(J19:N19)+IF(D19="Care",182,91)))</f>
        <v/>
      </c>
      <c r="R19" s="69" t="str">
        <f aca="true">IF(Q19="","",Q19-TODAY())</f>
        <v/>
      </c>
      <c r="S19" s="49" t="str">
        <f aca="false">IF(A19="","",IF(Q19="","ครบรอบตามสัญญาแล้ว",IF(R19&lt;0,"เกินกำหนด "&amp;ABS(R19)&amp;" วัน",IF(R19&lt;=14,"ใกล้ถึงกำหนด","ปกติ"))))</f>
        <v/>
      </c>
    </row>
    <row r="20" customFormat="false" ht="15" hidden="false" customHeight="false" outlineLevel="0" collapsed="false">
      <c r="A20" s="54"/>
      <c r="B20" s="54"/>
      <c r="C20" s="54"/>
      <c r="D20" s="23"/>
      <c r="E20" s="12"/>
      <c r="F20" s="26" t="str">
        <f aca="false">IF(E20="","",E20*2)</f>
        <v/>
      </c>
      <c r="G20" s="69" t="str">
        <f aca="false">IF(D20="","",IF(D20="Care",2,4)+IF(N(E20)&gt;=6,1,0))</f>
        <v/>
      </c>
      <c r="H20" s="70"/>
      <c r="I20" s="71" t="str">
        <f aca="false">IF(H20="","",H20+364)</f>
        <v/>
      </c>
      <c r="J20" s="70"/>
      <c r="K20" s="70"/>
      <c r="L20" s="70"/>
      <c r="M20" s="70"/>
      <c r="N20" s="70"/>
      <c r="O20" s="69" t="n">
        <f aca="false">COUNT(J20:N20)</f>
        <v>0</v>
      </c>
      <c r="P20" s="69" t="str">
        <f aca="false">IF(D20="","",G20-O20)</f>
        <v/>
      </c>
      <c r="Q20" s="71" t="str">
        <f aca="false">IF(OR(H20="",N(P20)&lt;=0),"",IF(O20=0,H20+7,MAX(J20:N20)+IF(D20="Care",182,91)))</f>
        <v/>
      </c>
      <c r="R20" s="69" t="str">
        <f aca="true">IF(Q20="","",Q20-TODAY())</f>
        <v/>
      </c>
      <c r="S20" s="49" t="str">
        <f aca="false">IF(A20="","",IF(Q20="","ครบรอบตามสัญญาแล้ว",IF(R20&lt;0,"เกินกำหนด "&amp;ABS(R20)&amp;" วัน",IF(R20&lt;=14,"ใกล้ถึงกำหนด","ปกติ"))))</f>
        <v/>
      </c>
    </row>
    <row r="21" customFormat="false" ht="15" hidden="false" customHeight="false" outlineLevel="0" collapsed="false">
      <c r="A21" s="54"/>
      <c r="B21" s="54"/>
      <c r="C21" s="54"/>
      <c r="D21" s="23"/>
      <c r="E21" s="12"/>
      <c r="F21" s="26" t="str">
        <f aca="false">IF(E21="","",E21*2)</f>
        <v/>
      </c>
      <c r="G21" s="69" t="str">
        <f aca="false">IF(D21="","",IF(D21="Care",2,4)+IF(N(E21)&gt;=6,1,0))</f>
        <v/>
      </c>
      <c r="H21" s="70"/>
      <c r="I21" s="71" t="str">
        <f aca="false">IF(H21="","",H21+364)</f>
        <v/>
      </c>
      <c r="J21" s="70"/>
      <c r="K21" s="70"/>
      <c r="L21" s="70"/>
      <c r="M21" s="70"/>
      <c r="N21" s="70"/>
      <c r="O21" s="69" t="n">
        <f aca="false">COUNT(J21:N21)</f>
        <v>0</v>
      </c>
      <c r="P21" s="69" t="str">
        <f aca="false">IF(D21="","",G21-O21)</f>
        <v/>
      </c>
      <c r="Q21" s="71" t="str">
        <f aca="false">IF(OR(H21="",N(P21)&lt;=0),"",IF(O21=0,H21+7,MAX(J21:N21)+IF(D21="Care",182,91)))</f>
        <v/>
      </c>
      <c r="R21" s="69" t="str">
        <f aca="true">IF(Q21="","",Q21-TODAY())</f>
        <v/>
      </c>
      <c r="S21" s="49" t="str">
        <f aca="false">IF(A21="","",IF(Q21="","ครบรอบตามสัญญาแล้ว",IF(R21&lt;0,"เกินกำหนด "&amp;ABS(R21)&amp;" วัน",IF(R21&lt;=14,"ใกล้ถึงกำหนด","ปกติ"))))</f>
        <v/>
      </c>
    </row>
    <row r="22" customFormat="false" ht="15" hidden="false" customHeight="false" outlineLevel="0" collapsed="false">
      <c r="A22" s="54"/>
      <c r="B22" s="54"/>
      <c r="C22" s="54"/>
      <c r="D22" s="23"/>
      <c r="E22" s="12"/>
      <c r="F22" s="26" t="str">
        <f aca="false">IF(E22="","",E22*2)</f>
        <v/>
      </c>
      <c r="G22" s="69" t="str">
        <f aca="false">IF(D22="","",IF(D22="Care",2,4)+IF(N(E22)&gt;=6,1,0))</f>
        <v/>
      </c>
      <c r="H22" s="70"/>
      <c r="I22" s="71" t="str">
        <f aca="false">IF(H22="","",H22+364)</f>
        <v/>
      </c>
      <c r="J22" s="70"/>
      <c r="K22" s="70"/>
      <c r="L22" s="70"/>
      <c r="M22" s="70"/>
      <c r="N22" s="70"/>
      <c r="O22" s="69" t="n">
        <f aca="false">COUNT(J22:N22)</f>
        <v>0</v>
      </c>
      <c r="P22" s="69" t="str">
        <f aca="false">IF(D22="","",G22-O22)</f>
        <v/>
      </c>
      <c r="Q22" s="71" t="str">
        <f aca="false">IF(OR(H22="",N(P22)&lt;=0),"",IF(O22=0,H22+7,MAX(J22:N22)+IF(D22="Care",182,91)))</f>
        <v/>
      </c>
      <c r="R22" s="69" t="str">
        <f aca="true">IF(Q22="","",Q22-TODAY())</f>
        <v/>
      </c>
      <c r="S22" s="49" t="str">
        <f aca="false">IF(A22="","",IF(Q22="","ครบรอบตามสัญญาแล้ว",IF(R22&lt;0,"เกินกำหนด "&amp;ABS(R22)&amp;" วัน",IF(R22&lt;=14,"ใกล้ถึงกำหนด","ปกติ"))))</f>
        <v/>
      </c>
    </row>
    <row r="23" customFormat="false" ht="15" hidden="false" customHeight="false" outlineLevel="0" collapsed="false">
      <c r="A23" s="54"/>
      <c r="B23" s="54"/>
      <c r="C23" s="54"/>
      <c r="D23" s="23"/>
      <c r="E23" s="12"/>
      <c r="F23" s="26" t="str">
        <f aca="false">IF(E23="","",E23*2)</f>
        <v/>
      </c>
      <c r="G23" s="69" t="str">
        <f aca="false">IF(D23="","",IF(D23="Care",2,4)+IF(N(E23)&gt;=6,1,0))</f>
        <v/>
      </c>
      <c r="H23" s="70"/>
      <c r="I23" s="71" t="str">
        <f aca="false">IF(H23="","",H23+364)</f>
        <v/>
      </c>
      <c r="J23" s="70"/>
      <c r="K23" s="70"/>
      <c r="L23" s="70"/>
      <c r="M23" s="70"/>
      <c r="N23" s="70"/>
      <c r="O23" s="69" t="n">
        <f aca="false">COUNT(J23:N23)</f>
        <v>0</v>
      </c>
      <c r="P23" s="69" t="str">
        <f aca="false">IF(D23="","",G23-O23)</f>
        <v/>
      </c>
      <c r="Q23" s="71" t="str">
        <f aca="false">IF(OR(H23="",N(P23)&lt;=0),"",IF(O23=0,H23+7,MAX(J23:N23)+IF(D23="Care",182,91)))</f>
        <v/>
      </c>
      <c r="R23" s="69" t="str">
        <f aca="true">IF(Q23="","",Q23-TODAY())</f>
        <v/>
      </c>
      <c r="S23" s="49" t="str">
        <f aca="false">IF(A23="","",IF(Q23="","ครบรอบตามสัญญาแล้ว",IF(R23&lt;0,"เกินกำหนด "&amp;ABS(R23)&amp;" วัน",IF(R23&lt;=14,"ใกล้ถึงกำหนด","ปกติ"))))</f>
        <v/>
      </c>
    </row>
    <row r="24" customFormat="false" ht="15" hidden="false" customHeight="false" outlineLevel="0" collapsed="false">
      <c r="A24" s="54"/>
      <c r="B24" s="54"/>
      <c r="C24" s="54"/>
      <c r="D24" s="23"/>
      <c r="E24" s="12"/>
      <c r="F24" s="26" t="str">
        <f aca="false">IF(E24="","",E24*2)</f>
        <v/>
      </c>
      <c r="G24" s="69" t="str">
        <f aca="false">IF(D24="","",IF(D24="Care",2,4)+IF(N(E24)&gt;=6,1,0))</f>
        <v/>
      </c>
      <c r="H24" s="70"/>
      <c r="I24" s="71" t="str">
        <f aca="false">IF(H24="","",H24+364)</f>
        <v/>
      </c>
      <c r="J24" s="70"/>
      <c r="K24" s="70"/>
      <c r="L24" s="70"/>
      <c r="M24" s="70"/>
      <c r="N24" s="70"/>
      <c r="O24" s="69" t="n">
        <f aca="false">COUNT(J24:N24)</f>
        <v>0</v>
      </c>
      <c r="P24" s="69" t="str">
        <f aca="false">IF(D24="","",G24-O24)</f>
        <v/>
      </c>
      <c r="Q24" s="71" t="str">
        <f aca="false">IF(OR(H24="",N(P24)&lt;=0),"",IF(O24=0,H24+7,MAX(J24:N24)+IF(D24="Care",182,91)))</f>
        <v/>
      </c>
      <c r="R24" s="69" t="str">
        <f aca="true">IF(Q24="","",Q24-TODAY())</f>
        <v/>
      </c>
      <c r="S24" s="49" t="str">
        <f aca="false">IF(A24="","",IF(Q24="","ครบรอบตามสัญญาแล้ว",IF(R24&lt;0,"เกินกำหนด "&amp;ABS(R24)&amp;" วัน",IF(R24&lt;=14,"ใกล้ถึงกำหนด","ปกติ"))))</f>
        <v/>
      </c>
    </row>
    <row r="25" customFormat="false" ht="15" hidden="false" customHeight="false" outlineLevel="0" collapsed="false">
      <c r="A25" s="54"/>
      <c r="B25" s="54"/>
      <c r="C25" s="54"/>
      <c r="D25" s="23"/>
      <c r="E25" s="12"/>
      <c r="F25" s="26" t="str">
        <f aca="false">IF(E25="","",E25*2)</f>
        <v/>
      </c>
      <c r="G25" s="69" t="str">
        <f aca="false">IF(D25="","",IF(D25="Care",2,4)+IF(N(E25)&gt;=6,1,0))</f>
        <v/>
      </c>
      <c r="H25" s="70"/>
      <c r="I25" s="71" t="str">
        <f aca="false">IF(H25="","",H25+364)</f>
        <v/>
      </c>
      <c r="J25" s="70"/>
      <c r="K25" s="70"/>
      <c r="L25" s="70"/>
      <c r="M25" s="70"/>
      <c r="N25" s="70"/>
      <c r="O25" s="69" t="n">
        <f aca="false">COUNT(J25:N25)</f>
        <v>0</v>
      </c>
      <c r="P25" s="69" t="str">
        <f aca="false">IF(D25="","",G25-O25)</f>
        <v/>
      </c>
      <c r="Q25" s="71" t="str">
        <f aca="false">IF(OR(H25="",N(P25)&lt;=0),"",IF(O25=0,H25+7,MAX(J25:N25)+IF(D25="Care",182,91)))</f>
        <v/>
      </c>
      <c r="R25" s="69" t="str">
        <f aca="true">IF(Q25="","",Q25-TODAY())</f>
        <v/>
      </c>
      <c r="S25" s="49" t="str">
        <f aca="false">IF(A25="","",IF(Q25="","ครบรอบตามสัญญาแล้ว",IF(R25&lt;0,"เกินกำหนด "&amp;ABS(R25)&amp;" วัน",IF(R25&lt;=14,"ใกล้ถึงกำหนด","ปกติ"))))</f>
        <v/>
      </c>
    </row>
    <row r="26" customFormat="false" ht="15" hidden="false" customHeight="false" outlineLevel="0" collapsed="false">
      <c r="A26" s="54"/>
      <c r="B26" s="54"/>
      <c r="C26" s="54"/>
      <c r="D26" s="23"/>
      <c r="E26" s="12"/>
      <c r="F26" s="26" t="str">
        <f aca="false">IF(E26="","",E26*2)</f>
        <v/>
      </c>
      <c r="G26" s="69" t="str">
        <f aca="false">IF(D26="","",IF(D26="Care",2,4)+IF(N(E26)&gt;=6,1,0))</f>
        <v/>
      </c>
      <c r="H26" s="70"/>
      <c r="I26" s="71" t="str">
        <f aca="false">IF(H26="","",H26+364)</f>
        <v/>
      </c>
      <c r="J26" s="70"/>
      <c r="K26" s="70"/>
      <c r="L26" s="70"/>
      <c r="M26" s="70"/>
      <c r="N26" s="70"/>
      <c r="O26" s="69" t="n">
        <f aca="false">COUNT(J26:N26)</f>
        <v>0</v>
      </c>
      <c r="P26" s="69" t="str">
        <f aca="false">IF(D26="","",G26-O26)</f>
        <v/>
      </c>
      <c r="Q26" s="71" t="str">
        <f aca="false">IF(OR(H26="",N(P26)&lt;=0),"",IF(O26=0,H26+7,MAX(J26:N26)+IF(D26="Care",182,91)))</f>
        <v/>
      </c>
      <c r="R26" s="69" t="str">
        <f aca="true">IF(Q26="","",Q26-TODAY())</f>
        <v/>
      </c>
      <c r="S26" s="49" t="str">
        <f aca="false">IF(A26="","",IF(Q26="","ครบรอบตามสัญญาแล้ว",IF(R26&lt;0,"เกินกำหนด "&amp;ABS(R26)&amp;" วัน",IF(R26&lt;=14,"ใกล้ถึงกำหนด","ปกติ"))))</f>
        <v/>
      </c>
    </row>
    <row r="27" customFormat="false" ht="15" hidden="false" customHeight="false" outlineLevel="0" collapsed="false">
      <c r="A27" s="54"/>
      <c r="B27" s="54"/>
      <c r="C27" s="54"/>
      <c r="D27" s="23"/>
      <c r="E27" s="12"/>
      <c r="F27" s="26" t="str">
        <f aca="false">IF(E27="","",E27*2)</f>
        <v/>
      </c>
      <c r="G27" s="69" t="str">
        <f aca="false">IF(D27="","",IF(D27="Care",2,4)+IF(N(E27)&gt;=6,1,0))</f>
        <v/>
      </c>
      <c r="H27" s="70"/>
      <c r="I27" s="71" t="str">
        <f aca="false">IF(H27="","",H27+364)</f>
        <v/>
      </c>
      <c r="J27" s="70"/>
      <c r="K27" s="70"/>
      <c r="L27" s="70"/>
      <c r="M27" s="70"/>
      <c r="N27" s="70"/>
      <c r="O27" s="69" t="n">
        <f aca="false">COUNT(J27:N27)</f>
        <v>0</v>
      </c>
      <c r="P27" s="69" t="str">
        <f aca="false">IF(D27="","",G27-O27)</f>
        <v/>
      </c>
      <c r="Q27" s="71" t="str">
        <f aca="false">IF(OR(H27="",N(P27)&lt;=0),"",IF(O27=0,H27+7,MAX(J27:N27)+IF(D27="Care",182,91)))</f>
        <v/>
      </c>
      <c r="R27" s="69" t="str">
        <f aca="true">IF(Q27="","",Q27-TODAY())</f>
        <v/>
      </c>
      <c r="S27" s="49" t="str">
        <f aca="false">IF(A27="","",IF(Q27="","ครบรอบตามสัญญาแล้ว",IF(R27&lt;0,"เกินกำหนด "&amp;ABS(R27)&amp;" วัน",IF(R27&lt;=14,"ใกล้ถึงกำหนด","ปกติ"))))</f>
        <v/>
      </c>
    </row>
    <row r="28" customFormat="false" ht="15" hidden="false" customHeight="false" outlineLevel="0" collapsed="false">
      <c r="A28" s="54"/>
      <c r="B28" s="54"/>
      <c r="C28" s="54"/>
      <c r="D28" s="23"/>
      <c r="E28" s="12"/>
      <c r="F28" s="26" t="str">
        <f aca="false">IF(E28="","",E28*2)</f>
        <v/>
      </c>
      <c r="G28" s="69" t="str">
        <f aca="false">IF(D28="","",IF(D28="Care",2,4)+IF(N(E28)&gt;=6,1,0))</f>
        <v/>
      </c>
      <c r="H28" s="70"/>
      <c r="I28" s="71" t="str">
        <f aca="false">IF(H28="","",H28+364)</f>
        <v/>
      </c>
      <c r="J28" s="70"/>
      <c r="K28" s="70"/>
      <c r="L28" s="70"/>
      <c r="M28" s="70"/>
      <c r="N28" s="70"/>
      <c r="O28" s="69" t="n">
        <f aca="false">COUNT(J28:N28)</f>
        <v>0</v>
      </c>
      <c r="P28" s="69" t="str">
        <f aca="false">IF(D28="","",G28-O28)</f>
        <v/>
      </c>
      <c r="Q28" s="71" t="str">
        <f aca="false">IF(OR(H28="",N(P28)&lt;=0),"",IF(O28=0,H28+7,MAX(J28:N28)+IF(D28="Care",182,91)))</f>
        <v/>
      </c>
      <c r="R28" s="69" t="str">
        <f aca="true">IF(Q28="","",Q28-TODAY())</f>
        <v/>
      </c>
      <c r="S28" s="49" t="str">
        <f aca="false">IF(A28="","",IF(Q28="","ครบรอบตามสัญญาแล้ว",IF(R28&lt;0,"เกินกำหนด "&amp;ABS(R28)&amp;" วัน",IF(R28&lt;=14,"ใกล้ถึงกำหนด","ปกติ"))))</f>
        <v/>
      </c>
    </row>
    <row r="29" customFormat="false" ht="15" hidden="false" customHeight="false" outlineLevel="0" collapsed="false">
      <c r="A29" s="54"/>
      <c r="B29" s="54"/>
      <c r="C29" s="54"/>
      <c r="D29" s="23"/>
      <c r="E29" s="12"/>
      <c r="F29" s="26" t="str">
        <f aca="false">IF(E29="","",E29*2)</f>
        <v/>
      </c>
      <c r="G29" s="69" t="str">
        <f aca="false">IF(D29="","",IF(D29="Care",2,4)+IF(N(E29)&gt;=6,1,0))</f>
        <v/>
      </c>
      <c r="H29" s="70"/>
      <c r="I29" s="71" t="str">
        <f aca="false">IF(H29="","",H29+364)</f>
        <v/>
      </c>
      <c r="J29" s="70"/>
      <c r="K29" s="70"/>
      <c r="L29" s="70"/>
      <c r="M29" s="70"/>
      <c r="N29" s="70"/>
      <c r="O29" s="69" t="n">
        <f aca="false">COUNT(J29:N29)</f>
        <v>0</v>
      </c>
      <c r="P29" s="69" t="str">
        <f aca="false">IF(D29="","",G29-O29)</f>
        <v/>
      </c>
      <c r="Q29" s="71" t="str">
        <f aca="false">IF(OR(H29="",N(P29)&lt;=0),"",IF(O29=0,H29+7,MAX(J29:N29)+IF(D29="Care",182,91)))</f>
        <v/>
      </c>
      <c r="R29" s="69" t="str">
        <f aca="true">IF(Q29="","",Q29-TODAY())</f>
        <v/>
      </c>
      <c r="S29" s="49" t="str">
        <f aca="false">IF(A29="","",IF(Q29="","ครบรอบตามสัญญาแล้ว",IF(R29&lt;0,"เกินกำหนด "&amp;ABS(R29)&amp;" วัน",IF(R29&lt;=14,"ใกล้ถึงกำหนด","ปกติ"))))</f>
        <v/>
      </c>
    </row>
    <row r="30" customFormat="false" ht="15" hidden="false" customHeight="false" outlineLevel="0" collapsed="false">
      <c r="A30" s="54"/>
      <c r="B30" s="54"/>
      <c r="C30" s="54"/>
      <c r="D30" s="23"/>
      <c r="E30" s="12"/>
      <c r="F30" s="26" t="str">
        <f aca="false">IF(E30="","",E30*2)</f>
        <v/>
      </c>
      <c r="G30" s="69" t="str">
        <f aca="false">IF(D30="","",IF(D30="Care",2,4)+IF(N(E30)&gt;=6,1,0))</f>
        <v/>
      </c>
      <c r="H30" s="70"/>
      <c r="I30" s="71" t="str">
        <f aca="false">IF(H30="","",H30+364)</f>
        <v/>
      </c>
      <c r="J30" s="70"/>
      <c r="K30" s="70"/>
      <c r="L30" s="70"/>
      <c r="M30" s="70"/>
      <c r="N30" s="70"/>
      <c r="O30" s="69" t="n">
        <f aca="false">COUNT(J30:N30)</f>
        <v>0</v>
      </c>
      <c r="P30" s="69" t="str">
        <f aca="false">IF(D30="","",G30-O30)</f>
        <v/>
      </c>
      <c r="Q30" s="71" t="str">
        <f aca="false">IF(OR(H30="",N(P30)&lt;=0),"",IF(O30=0,H30+7,MAX(J30:N30)+IF(D30="Care",182,91)))</f>
        <v/>
      </c>
      <c r="R30" s="69" t="str">
        <f aca="true">IF(Q30="","",Q30-TODAY())</f>
        <v/>
      </c>
      <c r="S30" s="49" t="str">
        <f aca="false">IF(A30="","",IF(Q30="","ครบรอบตามสัญญาแล้ว",IF(R30&lt;0,"เกินกำหนด "&amp;ABS(R30)&amp;" วัน",IF(R30&lt;=14,"ใกล้ถึงกำหนด","ปกติ"))))</f>
        <v/>
      </c>
    </row>
    <row r="31" customFormat="false" ht="15" hidden="false" customHeight="false" outlineLevel="0" collapsed="false">
      <c r="A31" s="54"/>
      <c r="B31" s="54"/>
      <c r="C31" s="54"/>
      <c r="D31" s="23"/>
      <c r="E31" s="12"/>
      <c r="F31" s="26" t="str">
        <f aca="false">IF(E31="","",E31*2)</f>
        <v/>
      </c>
      <c r="G31" s="69" t="str">
        <f aca="false">IF(D31="","",IF(D31="Care",2,4)+IF(N(E31)&gt;=6,1,0))</f>
        <v/>
      </c>
      <c r="H31" s="70"/>
      <c r="I31" s="71" t="str">
        <f aca="false">IF(H31="","",H31+364)</f>
        <v/>
      </c>
      <c r="J31" s="70"/>
      <c r="K31" s="70"/>
      <c r="L31" s="70"/>
      <c r="M31" s="70"/>
      <c r="N31" s="70"/>
      <c r="O31" s="69" t="n">
        <f aca="false">COUNT(J31:N31)</f>
        <v>0</v>
      </c>
      <c r="P31" s="69" t="str">
        <f aca="false">IF(D31="","",G31-O31)</f>
        <v/>
      </c>
      <c r="Q31" s="71" t="str">
        <f aca="false">IF(OR(H31="",N(P31)&lt;=0),"",IF(O31=0,H31+7,MAX(J31:N31)+IF(D31="Care",182,91)))</f>
        <v/>
      </c>
      <c r="R31" s="69" t="str">
        <f aca="true">IF(Q31="","",Q31-TODAY())</f>
        <v/>
      </c>
      <c r="S31" s="49" t="str">
        <f aca="false">IF(A31="","",IF(Q31="","ครบรอบตามสัญญาแล้ว",IF(R31&lt;0,"เกินกำหนด "&amp;ABS(R31)&amp;" วัน",IF(R31&lt;=14,"ใกล้ถึงกำหนด","ปกติ"))))</f>
        <v/>
      </c>
    </row>
    <row r="32" customFormat="false" ht="15" hidden="false" customHeight="false" outlineLevel="0" collapsed="false">
      <c r="A32" s="54"/>
      <c r="B32" s="54"/>
      <c r="C32" s="54"/>
      <c r="D32" s="23"/>
      <c r="E32" s="12"/>
      <c r="F32" s="26" t="str">
        <f aca="false">IF(E32="","",E32*2)</f>
        <v/>
      </c>
      <c r="G32" s="69" t="str">
        <f aca="false">IF(D32="","",IF(D32="Care",2,4)+IF(N(E32)&gt;=6,1,0))</f>
        <v/>
      </c>
      <c r="H32" s="70"/>
      <c r="I32" s="71" t="str">
        <f aca="false">IF(H32="","",H32+364)</f>
        <v/>
      </c>
      <c r="J32" s="70"/>
      <c r="K32" s="70"/>
      <c r="L32" s="70"/>
      <c r="M32" s="70"/>
      <c r="N32" s="70"/>
      <c r="O32" s="69" t="n">
        <f aca="false">COUNT(J32:N32)</f>
        <v>0</v>
      </c>
      <c r="P32" s="69" t="str">
        <f aca="false">IF(D32="","",G32-O32)</f>
        <v/>
      </c>
      <c r="Q32" s="71" t="str">
        <f aca="false">IF(OR(H32="",N(P32)&lt;=0),"",IF(O32=0,H32+7,MAX(J32:N32)+IF(D32="Care",182,91)))</f>
        <v/>
      </c>
      <c r="R32" s="69" t="str">
        <f aca="true">IF(Q32="","",Q32-TODAY())</f>
        <v/>
      </c>
      <c r="S32" s="49" t="str">
        <f aca="false">IF(A32="","",IF(Q32="","ครบรอบตามสัญญาแล้ว",IF(R32&lt;0,"เกินกำหนด "&amp;ABS(R32)&amp;" วัน",IF(R32&lt;=14,"ใกล้ถึงกำหนด","ปกติ"))))</f>
        <v/>
      </c>
    </row>
    <row r="33" customFormat="false" ht="15" hidden="false" customHeight="false" outlineLevel="0" collapsed="false">
      <c r="A33" s="54"/>
      <c r="B33" s="54"/>
      <c r="C33" s="54"/>
      <c r="D33" s="23"/>
      <c r="E33" s="12"/>
      <c r="F33" s="26" t="str">
        <f aca="false">IF(E33="","",E33*2)</f>
        <v/>
      </c>
      <c r="G33" s="69" t="str">
        <f aca="false">IF(D33="","",IF(D33="Care",2,4)+IF(N(E33)&gt;=6,1,0))</f>
        <v/>
      </c>
      <c r="H33" s="70"/>
      <c r="I33" s="71" t="str">
        <f aca="false">IF(H33="","",H33+364)</f>
        <v/>
      </c>
      <c r="J33" s="70"/>
      <c r="K33" s="70"/>
      <c r="L33" s="70"/>
      <c r="M33" s="70"/>
      <c r="N33" s="70"/>
      <c r="O33" s="69" t="n">
        <f aca="false">COUNT(J33:N33)</f>
        <v>0</v>
      </c>
      <c r="P33" s="69" t="str">
        <f aca="false">IF(D33="","",G33-O33)</f>
        <v/>
      </c>
      <c r="Q33" s="71" t="str">
        <f aca="false">IF(OR(H33="",N(P33)&lt;=0),"",IF(O33=0,H33+7,MAX(J33:N33)+IF(D33="Care",182,91)))</f>
        <v/>
      </c>
      <c r="R33" s="69" t="str">
        <f aca="true">IF(Q33="","",Q33-TODAY())</f>
        <v/>
      </c>
      <c r="S33" s="49" t="str">
        <f aca="false">IF(A33="","",IF(Q33="","ครบรอบตามสัญญาแล้ว",IF(R33&lt;0,"เกินกำหนด "&amp;ABS(R33)&amp;" วัน",IF(R33&lt;=14,"ใกล้ถึงกำหนด","ปกติ"))))</f>
        <v/>
      </c>
    </row>
    <row r="34" customFormat="false" ht="15" hidden="false" customHeight="false" outlineLevel="0" collapsed="false">
      <c r="A34" s="54"/>
      <c r="B34" s="54"/>
      <c r="C34" s="54"/>
      <c r="D34" s="23"/>
      <c r="E34" s="12"/>
      <c r="F34" s="26" t="str">
        <f aca="false">IF(E34="","",E34*2)</f>
        <v/>
      </c>
      <c r="G34" s="69" t="str">
        <f aca="false">IF(D34="","",IF(D34="Care",2,4)+IF(N(E34)&gt;=6,1,0))</f>
        <v/>
      </c>
      <c r="H34" s="70"/>
      <c r="I34" s="71" t="str">
        <f aca="false">IF(H34="","",H34+364)</f>
        <v/>
      </c>
      <c r="J34" s="70"/>
      <c r="K34" s="70"/>
      <c r="L34" s="70"/>
      <c r="M34" s="70"/>
      <c r="N34" s="70"/>
      <c r="O34" s="69" t="n">
        <f aca="false">COUNT(J34:N34)</f>
        <v>0</v>
      </c>
      <c r="P34" s="69" t="str">
        <f aca="false">IF(D34="","",G34-O34)</f>
        <v/>
      </c>
      <c r="Q34" s="71" t="str">
        <f aca="false">IF(OR(H34="",N(P34)&lt;=0),"",IF(O34=0,H34+7,MAX(J34:N34)+IF(D34="Care",182,91)))</f>
        <v/>
      </c>
      <c r="R34" s="69" t="str">
        <f aca="true">IF(Q34="","",Q34-TODAY())</f>
        <v/>
      </c>
      <c r="S34" s="49" t="str">
        <f aca="false">IF(A34="","",IF(Q34="","ครบรอบตามสัญญาแล้ว",IF(R34&lt;0,"เกินกำหนด "&amp;ABS(R34)&amp;" วัน",IF(R34&lt;=14,"ใกล้ถึงกำหนด","ปกติ"))))</f>
        <v/>
      </c>
    </row>
    <row r="35" customFormat="false" ht="15" hidden="false" customHeight="false" outlineLevel="0" collapsed="false">
      <c r="A35" s="54"/>
      <c r="B35" s="54"/>
      <c r="C35" s="54"/>
      <c r="D35" s="23"/>
      <c r="E35" s="12"/>
      <c r="F35" s="26" t="str">
        <f aca="false">IF(E35="","",E35*2)</f>
        <v/>
      </c>
      <c r="G35" s="69" t="str">
        <f aca="false">IF(D35="","",IF(D35="Care",2,4)+IF(N(E35)&gt;=6,1,0))</f>
        <v/>
      </c>
      <c r="H35" s="70"/>
      <c r="I35" s="71" t="str">
        <f aca="false">IF(H35="","",H35+364)</f>
        <v/>
      </c>
      <c r="J35" s="70"/>
      <c r="K35" s="70"/>
      <c r="L35" s="70"/>
      <c r="M35" s="70"/>
      <c r="N35" s="70"/>
      <c r="O35" s="69" t="n">
        <f aca="false">COUNT(J35:N35)</f>
        <v>0</v>
      </c>
      <c r="P35" s="69" t="str">
        <f aca="false">IF(D35="","",G35-O35)</f>
        <v/>
      </c>
      <c r="Q35" s="71" t="str">
        <f aca="false">IF(OR(H35="",N(P35)&lt;=0),"",IF(O35=0,H35+7,MAX(J35:N35)+IF(D35="Care",182,91)))</f>
        <v/>
      </c>
      <c r="R35" s="69" t="str">
        <f aca="true">IF(Q35="","",Q35-TODAY())</f>
        <v/>
      </c>
      <c r="S35" s="49" t="str">
        <f aca="false">IF(A35="","",IF(Q35="","ครบรอบตามสัญญาแล้ว",IF(R35&lt;0,"เกินกำหนด "&amp;ABS(R35)&amp;" วัน",IF(R35&lt;=14,"ใกล้ถึงกำหนด","ปกติ"))))</f>
        <v/>
      </c>
    </row>
    <row r="36" customFormat="false" ht="15" hidden="false" customHeight="false" outlineLevel="0" collapsed="false">
      <c r="A36" s="54"/>
      <c r="B36" s="54"/>
      <c r="C36" s="54"/>
      <c r="D36" s="23"/>
      <c r="E36" s="12"/>
      <c r="F36" s="26" t="str">
        <f aca="false">IF(E36="","",E36*2)</f>
        <v/>
      </c>
      <c r="G36" s="69" t="str">
        <f aca="false">IF(D36="","",IF(D36="Care",2,4)+IF(N(E36)&gt;=6,1,0))</f>
        <v/>
      </c>
      <c r="H36" s="70"/>
      <c r="I36" s="71" t="str">
        <f aca="false">IF(H36="","",H36+364)</f>
        <v/>
      </c>
      <c r="J36" s="70"/>
      <c r="K36" s="70"/>
      <c r="L36" s="70"/>
      <c r="M36" s="70"/>
      <c r="N36" s="70"/>
      <c r="O36" s="69" t="n">
        <f aca="false">COUNT(J36:N36)</f>
        <v>0</v>
      </c>
      <c r="P36" s="69" t="str">
        <f aca="false">IF(D36="","",G36-O36)</f>
        <v/>
      </c>
      <c r="Q36" s="71" t="str">
        <f aca="false">IF(OR(H36="",N(P36)&lt;=0),"",IF(O36=0,H36+7,MAX(J36:N36)+IF(D36="Care",182,91)))</f>
        <v/>
      </c>
      <c r="R36" s="69" t="str">
        <f aca="true">IF(Q36="","",Q36-TODAY())</f>
        <v/>
      </c>
      <c r="S36" s="49" t="str">
        <f aca="false">IF(A36="","",IF(Q36="","ครบรอบตามสัญญาแล้ว",IF(R36&lt;0,"เกินกำหนด "&amp;ABS(R36)&amp;" วัน",IF(R36&lt;=14,"ใกล้ถึงกำหนด","ปกติ"))))</f>
        <v/>
      </c>
    </row>
    <row r="37" customFormat="false" ht="15" hidden="false" customHeight="false" outlineLevel="0" collapsed="false">
      <c r="A37" s="54"/>
      <c r="B37" s="54"/>
      <c r="C37" s="54"/>
      <c r="D37" s="23"/>
      <c r="E37" s="12"/>
      <c r="F37" s="26" t="str">
        <f aca="false">IF(E37="","",E37*2)</f>
        <v/>
      </c>
      <c r="G37" s="69" t="str">
        <f aca="false">IF(D37="","",IF(D37="Care",2,4)+IF(N(E37)&gt;=6,1,0))</f>
        <v/>
      </c>
      <c r="H37" s="70"/>
      <c r="I37" s="71" t="str">
        <f aca="false">IF(H37="","",H37+364)</f>
        <v/>
      </c>
      <c r="J37" s="70"/>
      <c r="K37" s="70"/>
      <c r="L37" s="70"/>
      <c r="M37" s="70"/>
      <c r="N37" s="70"/>
      <c r="O37" s="69" t="n">
        <f aca="false">COUNT(J37:N37)</f>
        <v>0</v>
      </c>
      <c r="P37" s="69" t="str">
        <f aca="false">IF(D37="","",G37-O37)</f>
        <v/>
      </c>
      <c r="Q37" s="71" t="str">
        <f aca="false">IF(OR(H37="",N(P37)&lt;=0),"",IF(O37=0,H37+7,MAX(J37:N37)+IF(D37="Care",182,91)))</f>
        <v/>
      </c>
      <c r="R37" s="69" t="str">
        <f aca="true">IF(Q37="","",Q37-TODAY())</f>
        <v/>
      </c>
      <c r="S37" s="49" t="str">
        <f aca="false">IF(A37="","",IF(Q37="","ครบรอบตามสัญญาแล้ว",IF(R37&lt;0,"เกินกำหนด "&amp;ABS(R37)&amp;" วัน",IF(R37&lt;=14,"ใกล้ถึงกำหนด","ปกติ"))))</f>
        <v/>
      </c>
    </row>
    <row r="38" customFormat="false" ht="15" hidden="false" customHeight="false" outlineLevel="0" collapsed="false">
      <c r="A38" s="54"/>
      <c r="B38" s="54"/>
      <c r="C38" s="54"/>
      <c r="D38" s="23"/>
      <c r="E38" s="12"/>
      <c r="F38" s="26" t="str">
        <f aca="false">IF(E38="","",E38*2)</f>
        <v/>
      </c>
      <c r="G38" s="69" t="str">
        <f aca="false">IF(D38="","",IF(D38="Care",2,4)+IF(N(E38)&gt;=6,1,0))</f>
        <v/>
      </c>
      <c r="H38" s="70"/>
      <c r="I38" s="71" t="str">
        <f aca="false">IF(H38="","",H38+364)</f>
        <v/>
      </c>
      <c r="J38" s="70"/>
      <c r="K38" s="70"/>
      <c r="L38" s="70"/>
      <c r="M38" s="70"/>
      <c r="N38" s="70"/>
      <c r="O38" s="69" t="n">
        <f aca="false">COUNT(J38:N38)</f>
        <v>0</v>
      </c>
      <c r="P38" s="69" t="str">
        <f aca="false">IF(D38="","",G38-O38)</f>
        <v/>
      </c>
      <c r="Q38" s="71" t="str">
        <f aca="false">IF(OR(H38="",N(P38)&lt;=0),"",IF(O38=0,H38+7,MAX(J38:N38)+IF(D38="Care",182,91)))</f>
        <v/>
      </c>
      <c r="R38" s="69" t="str">
        <f aca="true">IF(Q38="","",Q38-TODAY())</f>
        <v/>
      </c>
      <c r="S38" s="49" t="str">
        <f aca="false">IF(A38="","",IF(Q38="","ครบรอบตามสัญญาแล้ว",IF(R38&lt;0,"เกินกำหนด "&amp;ABS(R38)&amp;" วัน",IF(R38&lt;=14,"ใกล้ถึงกำหนด","ปกติ"))))</f>
        <v/>
      </c>
    </row>
    <row r="39" customFormat="false" ht="15" hidden="false" customHeight="false" outlineLevel="0" collapsed="false">
      <c r="A39" s="54"/>
      <c r="B39" s="54"/>
      <c r="C39" s="54"/>
      <c r="D39" s="23"/>
      <c r="E39" s="12"/>
      <c r="F39" s="26" t="str">
        <f aca="false">IF(E39="","",E39*2)</f>
        <v/>
      </c>
      <c r="G39" s="69" t="str">
        <f aca="false">IF(D39="","",IF(D39="Care",2,4)+IF(N(E39)&gt;=6,1,0))</f>
        <v/>
      </c>
      <c r="H39" s="70"/>
      <c r="I39" s="71" t="str">
        <f aca="false">IF(H39="","",H39+364)</f>
        <v/>
      </c>
      <c r="J39" s="70"/>
      <c r="K39" s="70"/>
      <c r="L39" s="70"/>
      <c r="M39" s="70"/>
      <c r="N39" s="70"/>
      <c r="O39" s="69" t="n">
        <f aca="false">COUNT(J39:N39)</f>
        <v>0</v>
      </c>
      <c r="P39" s="69" t="str">
        <f aca="false">IF(D39="","",G39-O39)</f>
        <v/>
      </c>
      <c r="Q39" s="71" t="str">
        <f aca="false">IF(OR(H39="",N(P39)&lt;=0),"",IF(O39=0,H39+7,MAX(J39:N39)+IF(D39="Care",182,91)))</f>
        <v/>
      </c>
      <c r="R39" s="69" t="str">
        <f aca="true">IF(Q39="","",Q39-TODAY())</f>
        <v/>
      </c>
      <c r="S39" s="49" t="str">
        <f aca="false">IF(A39="","",IF(Q39="","ครบรอบตามสัญญาแล้ว",IF(R39&lt;0,"เกินกำหนด "&amp;ABS(R39)&amp;" วัน",IF(R39&lt;=14,"ใกล้ถึงกำหนด","ปกติ"))))</f>
        <v/>
      </c>
    </row>
    <row r="40" customFormat="false" ht="15" hidden="false" customHeight="false" outlineLevel="0" collapsed="false">
      <c r="A40" s="54"/>
      <c r="B40" s="54"/>
      <c r="C40" s="54"/>
      <c r="D40" s="23"/>
      <c r="E40" s="12"/>
      <c r="F40" s="26" t="str">
        <f aca="false">IF(E40="","",E40*2)</f>
        <v/>
      </c>
      <c r="G40" s="69" t="str">
        <f aca="false">IF(D40="","",IF(D40="Care",2,4)+IF(N(E40)&gt;=6,1,0))</f>
        <v/>
      </c>
      <c r="H40" s="70"/>
      <c r="I40" s="71" t="str">
        <f aca="false">IF(H40="","",H40+364)</f>
        <v/>
      </c>
      <c r="J40" s="70"/>
      <c r="K40" s="70"/>
      <c r="L40" s="70"/>
      <c r="M40" s="70"/>
      <c r="N40" s="70"/>
      <c r="O40" s="69" t="n">
        <f aca="false">COUNT(J40:N40)</f>
        <v>0</v>
      </c>
      <c r="P40" s="69" t="str">
        <f aca="false">IF(D40="","",G40-O40)</f>
        <v/>
      </c>
      <c r="Q40" s="71" t="str">
        <f aca="false">IF(OR(H40="",N(P40)&lt;=0),"",IF(O40=0,H40+7,MAX(J40:N40)+IF(D40="Care",182,91)))</f>
        <v/>
      </c>
      <c r="R40" s="69" t="str">
        <f aca="true">IF(Q40="","",Q40-TODAY())</f>
        <v/>
      </c>
      <c r="S40" s="49" t="str">
        <f aca="false">IF(A40="","",IF(Q40="","ครบรอบตามสัญญาแล้ว",IF(R40&lt;0,"เกินกำหนด "&amp;ABS(R40)&amp;" วัน",IF(R40&lt;=14,"ใกล้ถึงกำหนด","ปกติ"))))</f>
        <v/>
      </c>
    </row>
    <row r="41" customFormat="false" ht="15" hidden="false" customHeight="false" outlineLevel="0" collapsed="false">
      <c r="A41" s="54"/>
      <c r="B41" s="54"/>
      <c r="C41" s="54"/>
      <c r="D41" s="23"/>
      <c r="E41" s="12"/>
      <c r="F41" s="26" t="str">
        <f aca="false">IF(E41="","",E41*2)</f>
        <v/>
      </c>
      <c r="G41" s="69" t="str">
        <f aca="false">IF(D41="","",IF(D41="Care",2,4)+IF(N(E41)&gt;=6,1,0))</f>
        <v/>
      </c>
      <c r="H41" s="70"/>
      <c r="I41" s="71" t="str">
        <f aca="false">IF(H41="","",H41+364)</f>
        <v/>
      </c>
      <c r="J41" s="70"/>
      <c r="K41" s="70"/>
      <c r="L41" s="70"/>
      <c r="M41" s="70"/>
      <c r="N41" s="70"/>
      <c r="O41" s="69" t="n">
        <f aca="false">COUNT(J41:N41)</f>
        <v>0</v>
      </c>
      <c r="P41" s="69" t="str">
        <f aca="false">IF(D41="","",G41-O41)</f>
        <v/>
      </c>
      <c r="Q41" s="71" t="str">
        <f aca="false">IF(OR(H41="",N(P41)&lt;=0),"",IF(O41=0,H41+7,MAX(J41:N41)+IF(D41="Care",182,91)))</f>
        <v/>
      </c>
      <c r="R41" s="69" t="str">
        <f aca="true">IF(Q41="","",Q41-TODAY())</f>
        <v/>
      </c>
      <c r="S41" s="49" t="str">
        <f aca="false">IF(A41="","",IF(Q41="","ครบรอบตามสัญญาแล้ว",IF(R41&lt;0,"เกินกำหนด "&amp;ABS(R41)&amp;" วัน",IF(R41&lt;=14,"ใกล้ถึงกำหนด","ปกติ"))))</f>
        <v/>
      </c>
    </row>
    <row r="42" customFormat="false" ht="15" hidden="false" customHeight="false" outlineLevel="0" collapsed="false">
      <c r="A42" s="54"/>
      <c r="B42" s="54"/>
      <c r="C42" s="54"/>
      <c r="D42" s="23"/>
      <c r="E42" s="12"/>
      <c r="F42" s="26" t="str">
        <f aca="false">IF(E42="","",E42*2)</f>
        <v/>
      </c>
      <c r="G42" s="69" t="str">
        <f aca="false">IF(D42="","",IF(D42="Care",2,4)+IF(N(E42)&gt;=6,1,0))</f>
        <v/>
      </c>
      <c r="H42" s="70"/>
      <c r="I42" s="71" t="str">
        <f aca="false">IF(H42="","",H42+364)</f>
        <v/>
      </c>
      <c r="J42" s="70"/>
      <c r="K42" s="70"/>
      <c r="L42" s="70"/>
      <c r="M42" s="70"/>
      <c r="N42" s="70"/>
      <c r="O42" s="69" t="n">
        <f aca="false">COUNT(J42:N42)</f>
        <v>0</v>
      </c>
      <c r="P42" s="69" t="str">
        <f aca="false">IF(D42="","",G42-O42)</f>
        <v/>
      </c>
      <c r="Q42" s="71" t="str">
        <f aca="false">IF(OR(H42="",N(P42)&lt;=0),"",IF(O42=0,H42+7,MAX(J42:N42)+IF(D42="Care",182,91)))</f>
        <v/>
      </c>
      <c r="R42" s="69" t="str">
        <f aca="true">IF(Q42="","",Q42-TODAY())</f>
        <v/>
      </c>
      <c r="S42" s="49" t="str">
        <f aca="false">IF(A42="","",IF(Q42="","ครบรอบตามสัญญาแล้ว",IF(R42&lt;0,"เกินกำหนด "&amp;ABS(R42)&amp;" วัน",IF(R42&lt;=14,"ใกล้ถึงกำหนด","ปกติ"))))</f>
        <v/>
      </c>
    </row>
    <row r="43" customFormat="false" ht="15" hidden="false" customHeight="false" outlineLevel="0" collapsed="false">
      <c r="A43" s="54"/>
      <c r="B43" s="54"/>
      <c r="C43" s="54"/>
      <c r="D43" s="23"/>
      <c r="E43" s="12"/>
      <c r="F43" s="26" t="str">
        <f aca="false">IF(E43="","",E43*2)</f>
        <v/>
      </c>
      <c r="G43" s="69" t="str">
        <f aca="false">IF(D43="","",IF(D43="Care",2,4)+IF(N(E43)&gt;=6,1,0))</f>
        <v/>
      </c>
      <c r="H43" s="70"/>
      <c r="I43" s="71" t="str">
        <f aca="false">IF(H43="","",H43+364)</f>
        <v/>
      </c>
      <c r="J43" s="70"/>
      <c r="K43" s="70"/>
      <c r="L43" s="70"/>
      <c r="M43" s="70"/>
      <c r="N43" s="70"/>
      <c r="O43" s="69" t="n">
        <f aca="false">COUNT(J43:N43)</f>
        <v>0</v>
      </c>
      <c r="P43" s="69" t="str">
        <f aca="false">IF(D43="","",G43-O43)</f>
        <v/>
      </c>
      <c r="Q43" s="71" t="str">
        <f aca="false">IF(OR(H43="",N(P43)&lt;=0),"",IF(O43=0,H43+7,MAX(J43:N43)+IF(D43="Care",182,91)))</f>
        <v/>
      </c>
      <c r="R43" s="69" t="str">
        <f aca="true">IF(Q43="","",Q43-TODAY())</f>
        <v/>
      </c>
      <c r="S43" s="49" t="str">
        <f aca="false">IF(A43="","",IF(Q43="","ครบรอบตามสัญญาแล้ว",IF(R43&lt;0,"เกินกำหนด "&amp;ABS(R43)&amp;" วัน",IF(R43&lt;=14,"ใกล้ถึงกำหนด","ปกติ"))))</f>
        <v/>
      </c>
    </row>
    <row r="44" customFormat="false" ht="15" hidden="false" customHeight="false" outlineLevel="0" collapsed="false">
      <c r="A44" s="54"/>
      <c r="B44" s="54"/>
      <c r="C44" s="54"/>
      <c r="D44" s="23"/>
      <c r="E44" s="12"/>
      <c r="F44" s="26" t="str">
        <f aca="false">IF(E44="","",E44*2)</f>
        <v/>
      </c>
      <c r="G44" s="69" t="str">
        <f aca="false">IF(D44="","",IF(D44="Care",2,4)+IF(N(E44)&gt;=6,1,0))</f>
        <v/>
      </c>
      <c r="H44" s="70"/>
      <c r="I44" s="71" t="str">
        <f aca="false">IF(H44="","",H44+364)</f>
        <v/>
      </c>
      <c r="J44" s="70"/>
      <c r="K44" s="70"/>
      <c r="L44" s="70"/>
      <c r="M44" s="70"/>
      <c r="N44" s="70"/>
      <c r="O44" s="69" t="n">
        <f aca="false">COUNT(J44:N44)</f>
        <v>0</v>
      </c>
      <c r="P44" s="69" t="str">
        <f aca="false">IF(D44="","",G44-O44)</f>
        <v/>
      </c>
      <c r="Q44" s="71" t="str">
        <f aca="false">IF(OR(H44="",N(P44)&lt;=0),"",IF(O44=0,H44+7,MAX(J44:N44)+IF(D44="Care",182,91)))</f>
        <v/>
      </c>
      <c r="R44" s="69" t="str">
        <f aca="true">IF(Q44="","",Q44-TODAY())</f>
        <v/>
      </c>
      <c r="S44" s="49" t="str">
        <f aca="false">IF(A44="","",IF(Q44="","ครบรอบตามสัญญาแล้ว",IF(R44&lt;0,"เกินกำหนด "&amp;ABS(R44)&amp;" วัน",IF(R44&lt;=14,"ใกล้ถึงกำหนด","ปกติ"))))</f>
        <v/>
      </c>
    </row>
  </sheetData>
  <mergeCells count="1">
    <mergeCell ref="A1:S1"/>
  </mergeCells>
  <conditionalFormatting sqref="S5:S44">
    <cfRule type="expression" priority="2" aboveAverage="0" equalAverage="0" bottom="0" percent="0" rank="0" text="" dxfId="0">
      <formula>ISNUMBER(SEARCH("เกินกำหนด",$S5))</formula>
    </cfRule>
    <cfRule type="expression" priority="3" aboveAverage="0" equalAverage="0" bottom="0" percent="0" rank="0" text="" dxfId="5">
      <formula>ISNUMBER(SEARCH("ใกล้ถึง",$S5))</formula>
    </cfRule>
    <cfRule type="expression" priority="4" aboveAverage="0" equalAverage="0" bottom="0" percent="0" rank="0" text="" dxfId="3">
      <formula>$S5="ปกติ"</formula>
    </cfRule>
  </conditionalFormatting>
  <dataValidations count="1">
    <dataValidation allowBlank="true" errorStyle="stop" operator="between" showDropDown="false" showErrorMessage="false" showInputMessage="false" sqref="D5:D44" type="list">
      <formula1>Z_LISTS!$B$2:$B$4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2"/>
  </cols>
  <sheetData>
    <row r="1" customFormat="false" ht="25.5" hidden="false" customHeight="true" outlineLevel="0" collapsed="false">
      <c r="A1" s="9" t="s">
        <v>313</v>
      </c>
      <c r="B1" s="9"/>
    </row>
    <row r="3" customFormat="false" ht="27.75" hidden="false" customHeight="true" outlineLevel="0" collapsed="false">
      <c r="A3" s="5" t="s">
        <v>314</v>
      </c>
      <c r="B3" s="8" t="s">
        <v>315</v>
      </c>
    </row>
    <row r="4" customFormat="false" ht="27.75" hidden="false" customHeight="true" outlineLevel="0" collapsed="false">
      <c r="A4" s="5" t="s">
        <v>316</v>
      </c>
      <c r="B4" s="8" t="s">
        <v>317</v>
      </c>
    </row>
    <row r="5" customFormat="false" ht="18" hidden="false" customHeight="true" outlineLevel="0" collapsed="false">
      <c r="A5" s="5" t="s">
        <v>318</v>
      </c>
      <c r="B5" s="8" t="s">
        <v>319</v>
      </c>
    </row>
    <row r="6" customFormat="false" ht="18" hidden="false" customHeight="true" outlineLevel="0" collapsed="false">
      <c r="A6" s="5" t="s">
        <v>320</v>
      </c>
      <c r="B6" s="8" t="s">
        <v>321</v>
      </c>
    </row>
    <row r="7" customFormat="false" ht="27.75" hidden="false" customHeight="true" outlineLevel="0" collapsed="false">
      <c r="A7" s="5" t="s">
        <v>322</v>
      </c>
      <c r="B7" s="8" t="s">
        <v>323</v>
      </c>
    </row>
    <row r="8" customFormat="false" ht="18" hidden="false" customHeight="true" outlineLevel="0" collapsed="false">
      <c r="A8" s="5" t="s">
        <v>324</v>
      </c>
      <c r="B8" s="8" t="s">
        <v>325</v>
      </c>
    </row>
    <row r="9" customFormat="false" ht="18" hidden="false" customHeight="true" outlineLevel="0" collapsed="false">
      <c r="A9" s="5" t="s">
        <v>326</v>
      </c>
      <c r="B9" s="8" t="s">
        <v>327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4" t="s">
        <v>328</v>
      </c>
      <c r="B1" s="4" t="s">
        <v>329</v>
      </c>
      <c r="C1" s="4" t="s">
        <v>330</v>
      </c>
    </row>
    <row r="2" customFormat="false" ht="15" hidden="false" customHeight="false" outlineLevel="0" collapsed="false">
      <c r="A2" s="35" t="s">
        <v>112</v>
      </c>
      <c r="B2" s="35" t="s">
        <v>331</v>
      </c>
      <c r="C2" s="35" t="s">
        <v>332</v>
      </c>
    </row>
    <row r="3" customFormat="false" ht="15" hidden="false" customHeight="false" outlineLevel="0" collapsed="false">
      <c r="A3" s="35" t="s">
        <v>333</v>
      </c>
      <c r="B3" s="35" t="s">
        <v>225</v>
      </c>
      <c r="C3" s="35" t="s">
        <v>231</v>
      </c>
    </row>
    <row r="4" customFormat="false" ht="15" hidden="false" customHeight="false" outlineLevel="0" collapsed="false">
      <c r="A4" s="35" t="s">
        <v>334</v>
      </c>
      <c r="B4" s="35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2026-09-19T06:33:55Z</dcterms:created>
  <dc:creator>openpyxl</dc:creator>
  <dc:description/>
  <dc:language>en-US</dc:language>
  <cp:lastModifiedBy/>
  <dcterms:modified xsi:type="dcterms:W3CDTF">2026-09-19T06:33:55Z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